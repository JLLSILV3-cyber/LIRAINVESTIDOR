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_\Downloads\"/>
    </mc:Choice>
  </mc:AlternateContent>
  <xr:revisionPtr revIDLastSave="0" documentId="8_{7A225C48-6508-423B-A453-C9ED69E71FD1}" xr6:coauthVersionLast="47" xr6:coauthVersionMax="47" xr10:uidLastSave="{00000000-0000-0000-0000-000000000000}"/>
  <bookViews>
    <workbookView xWindow="20370" yWindow="-120" windowWidth="29040" windowHeight="15720" xr2:uid="{77682ABC-7484-430E-B2B9-F652B82DFEE0}"/>
  </bookViews>
  <sheets>
    <sheet name="Simulador FII" sheetId="1" r:id="rId1"/>
    <sheet name="Apoio" sheetId="2" state="hidden" r:id="rId2"/>
  </sheets>
  <definedNames>
    <definedName name="aporte">'Simulador FII'!$D$12</definedName>
    <definedName name="patrimonio">'Simulador FII'!$D$13</definedName>
    <definedName name="percentual_aporte">'Simulador FII'!$D$7</definedName>
    <definedName name="perfil_investidor">'Simulador FII'!$D$10</definedName>
    <definedName name="prazo_anos">'Simulador FII'!$D$9</definedName>
    <definedName name="salario">'Simulador FII'!$D$6</definedName>
    <definedName name="tabela_perfis">Apoio!$A$2:$D$19</definedName>
    <definedName name="taxa_mensal">'Simulador FII'!$D$8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  <c r="D31" i="1"/>
  <c r="C33" i="1"/>
  <c r="C32" i="1"/>
  <c r="C31" i="1"/>
  <c r="C30" i="1"/>
  <c r="C29" i="1"/>
  <c r="C28" i="1"/>
  <c r="I11" i="1"/>
  <c r="F11" i="1"/>
  <c r="I7" i="1"/>
  <c r="D12" i="1"/>
  <c r="D13" i="1" s="1"/>
  <c r="I9" i="1" l="1"/>
  <c r="D14" i="1"/>
  <c r="F9" i="1"/>
  <c r="C20" i="1"/>
  <c r="C21" i="1" s="1"/>
  <c r="D20" i="1"/>
  <c r="D21" i="1" s="1"/>
  <c r="E20" i="1"/>
  <c r="E21" i="1" s="1"/>
  <c r="F20" i="1"/>
  <c r="F21" i="1" s="1"/>
  <c r="D32" i="1"/>
  <c r="D29" i="1"/>
  <c r="F7" i="1"/>
  <c r="D33" i="1"/>
  <c r="D30" i="1"/>
  <c r="B20" i="1"/>
  <c r="B21" i="1" s="1"/>
  <c r="D28" i="1"/>
  <c r="D34" i="1" l="1"/>
</calcChain>
</file>

<file path=xl/sharedStrings.xml><?xml version="1.0" encoding="utf-8"?>
<sst xmlns="http://schemas.openxmlformats.org/spreadsheetml/2006/main" count="93" uniqueCount="58">
  <si>
    <t>Planeje aportes, patrimônio e renda mensal por perfil de investidor</t>
  </si>
  <si>
    <t>CONFIGURAÇÕES</t>
  </si>
  <si>
    <t>Salário mensal</t>
  </si>
  <si>
    <t>Percentual de aporte</t>
  </si>
  <si>
    <t>Rendimento mensal</t>
  </si>
  <si>
    <t>Prazo do plano (anos)</t>
  </si>
  <si>
    <t>Perfil do investidor</t>
  </si>
  <si>
    <t>Moderado</t>
  </si>
  <si>
    <t>RESPOSTAS DO PLANO</t>
  </si>
  <si>
    <t>INVESTIMENTO MENSAL</t>
  </si>
  <si>
    <t>HORIZONTE</t>
  </si>
  <si>
    <t>PATRIMÔNIO PROJETADO</t>
  </si>
  <si>
    <t>DIVIDENDOS / MÊS</t>
  </si>
  <si>
    <t>TAXA MENSAL</t>
  </si>
  <si>
    <t>PERFIL</t>
  </si>
  <si>
    <t>Chave</t>
  </si>
  <si>
    <t>Perfil</t>
  </si>
  <si>
    <t>Tipo de FII</t>
  </si>
  <si>
    <t>Percentual</t>
  </si>
  <si>
    <t>Conservador|Logística</t>
  </si>
  <si>
    <t>Conservador</t>
  </si>
  <si>
    <t>Logística</t>
  </si>
  <si>
    <t>Conservador|Shopping</t>
  </si>
  <si>
    <t>Shopping</t>
  </si>
  <si>
    <t>Conservador|Lajes Corporativas</t>
  </si>
  <si>
    <t>Lajes Corporativas</t>
  </si>
  <si>
    <t>Conservador|Renda Urbana</t>
  </si>
  <si>
    <t>Renda Urbana</t>
  </si>
  <si>
    <t>Conservador|Recebíveis</t>
  </si>
  <si>
    <t>Recebíveis</t>
  </si>
  <si>
    <t>Conservador|Fundos de Fundos</t>
  </si>
  <si>
    <t>Fundos de Fundos</t>
  </si>
  <si>
    <t>Moderado|Logística</t>
  </si>
  <si>
    <t>Moderado|Shopping</t>
  </si>
  <si>
    <t>Moderado|Lajes Corporativas</t>
  </si>
  <si>
    <t>Moderado|Renda Urbana</t>
  </si>
  <si>
    <t>Moderado|Recebíveis</t>
  </si>
  <si>
    <t>Moderado|Fundos de Fundos</t>
  </si>
  <si>
    <t>Arrojado|Logística</t>
  </si>
  <si>
    <t>Arrojado</t>
  </si>
  <si>
    <t>Arrojado|Shopping</t>
  </si>
  <si>
    <t>Arrojado|Lajes Corporativas</t>
  </si>
  <si>
    <t>Arrojado|Renda Urbana</t>
  </si>
  <si>
    <t>Arrojado|Recebíveis</t>
  </si>
  <si>
    <t>Arrojado|Fundos de Fundos</t>
  </si>
  <si>
    <t>Aporte mensal sugerido</t>
  </si>
  <si>
    <t>Patrimônio acumulado</t>
  </si>
  <si>
    <t>Dividendos mensais estimados</t>
  </si>
  <si>
    <t>CENÁRIOS DE ACUMULAÇÃO</t>
  </si>
  <si>
    <t>Indicador</t>
  </si>
  <si>
    <t>Patrimônio</t>
  </si>
  <si>
    <t>Dividendos/mês</t>
  </si>
  <si>
    <t>DIVISÃO DO APORTE POR PERFIL</t>
  </si>
  <si>
    <t>Alocação</t>
  </si>
  <si>
    <t>Aporte mensal</t>
  </si>
  <si>
    <t>TOTAL</t>
  </si>
  <si>
    <t>Simulação educacional. Rentabilidade e alocação são premissas, não recomendação de investimento.</t>
  </si>
  <si>
    <t>LIRA PLANNER | Simulador de Patrimônio e 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</si>
</sst>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\ &quot;anos&quot;"/>
    <numFmt numFmtId="167" formatCode="[$R$-416]\ #,##0.00"/>
    <numFmt numFmtId="168" formatCode="[$R$-416]\ #,##0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"/>
    </font>
    <font>
      <b/>
      <sz val="11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0"/>
      <color theme="1"/>
      <name val="Aptos"/>
    </font>
    <font>
      <b/>
      <sz val="11"/>
      <color rgb="FF475569"/>
      <name val="Aptos Narrow"/>
      <family val="2"/>
      <scheme val="minor"/>
    </font>
    <font>
      <b/>
      <sz val="15"/>
      <color rgb="FF0F172A"/>
      <name val="Aptos Narrow"/>
      <family val="2"/>
      <scheme val="minor"/>
    </font>
    <font>
      <i/>
      <sz val="11"/>
      <color rgb="FF64748B"/>
      <name val="Aptos Narrow"/>
      <family val="2"/>
      <scheme val="minor"/>
    </font>
    <font>
      <i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CBD5E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58">
    <xf numFmtId="0" fontId="0" fillId="0" borderId="0" xfId="0"/>
    <xf numFmtId="9" fontId="0" fillId="0" borderId="0" xfId="0" applyNumberFormat="1"/>
    <xf numFmtId="0" fontId="2" fillId="3" borderId="0" xfId="0" applyFont="1" applyFill="1"/>
    <xf numFmtId="0" fontId="3" fillId="3" borderId="0" xfId="0" applyFont="1" applyFill="1" applyAlignment="1" applyProtection="1">
      <alignment horizontal="center"/>
    </xf>
    <xf numFmtId="0" fontId="1" fillId="2" borderId="0" xfId="0" applyFont="1" applyFill="1" applyProtection="1"/>
    <xf numFmtId="0" fontId="2" fillId="5" borderId="0" xfId="0" applyFont="1" applyFill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1" fillId="2" borderId="0" xfId="0" applyFont="1" applyFill="1" applyBorder="1" applyProtection="1"/>
    <xf numFmtId="0" fontId="1" fillId="6" borderId="0" xfId="0" applyFont="1" applyFill="1" applyBorder="1" applyProtection="1"/>
    <xf numFmtId="0" fontId="1" fillId="8" borderId="0" xfId="0" applyFont="1" applyFill="1" applyBorder="1" applyProtection="1"/>
    <xf numFmtId="0" fontId="2" fillId="5" borderId="1" xfId="0" applyFont="1" applyFill="1" applyBorder="1" applyAlignment="1" applyProtection="1">
      <alignment horizontal="center"/>
    </xf>
    <xf numFmtId="0" fontId="1" fillId="8" borderId="2" xfId="0" applyFont="1" applyFill="1" applyBorder="1" applyProtection="1"/>
    <xf numFmtId="167" fontId="1" fillId="8" borderId="2" xfId="0" applyNumberFormat="1" applyFont="1" applyFill="1" applyBorder="1" applyProtection="1"/>
    <xf numFmtId="0" fontId="2" fillId="5" borderId="3" xfId="0" applyFont="1" applyFill="1" applyBorder="1" applyAlignment="1" applyProtection="1">
      <alignment horizontal="center"/>
    </xf>
    <xf numFmtId="0" fontId="1" fillId="2" borderId="4" xfId="0" applyFont="1" applyFill="1" applyBorder="1" applyProtection="1"/>
    <xf numFmtId="0" fontId="4" fillId="6" borderId="4" xfId="0" applyFont="1" applyFill="1" applyBorder="1" applyProtection="1"/>
    <xf numFmtId="0" fontId="4" fillId="8" borderId="4" xfId="0" applyFont="1" applyFill="1" applyBorder="1" applyProtection="1"/>
    <xf numFmtId="0" fontId="4" fillId="8" borderId="5" xfId="0" applyFont="1" applyFill="1" applyBorder="1" applyProtection="1"/>
    <xf numFmtId="0" fontId="2" fillId="5" borderId="6" xfId="0" applyFont="1" applyFill="1" applyBorder="1" applyAlignment="1" applyProtection="1">
      <alignment horizontal="center"/>
    </xf>
    <xf numFmtId="0" fontId="1" fillId="2" borderId="7" xfId="0" applyFont="1" applyFill="1" applyBorder="1" applyProtection="1"/>
    <xf numFmtId="167" fontId="4" fillId="7" borderId="7" xfId="0" applyNumberFormat="1" applyFont="1" applyFill="1" applyBorder="1" applyProtection="1">
      <protection locked="0"/>
    </xf>
    <xf numFmtId="9" fontId="4" fillId="7" borderId="7" xfId="0" applyNumberFormat="1" applyFont="1" applyFill="1" applyBorder="1" applyProtection="1">
      <protection locked="0"/>
    </xf>
    <xf numFmtId="10" fontId="4" fillId="7" borderId="7" xfId="0" applyNumberFormat="1" applyFont="1" applyFill="1" applyBorder="1" applyProtection="1">
      <protection locked="0"/>
    </xf>
    <xf numFmtId="1" fontId="4" fillId="7" borderId="7" xfId="0" applyNumberFormat="1" applyFont="1" applyFill="1" applyBorder="1" applyProtection="1">
      <protection locked="0"/>
    </xf>
    <xf numFmtId="0" fontId="4" fillId="7" borderId="7" xfId="0" applyFont="1" applyFill="1" applyBorder="1" applyProtection="1">
      <protection locked="0"/>
    </xf>
    <xf numFmtId="167" fontId="1" fillId="8" borderId="7" xfId="0" applyNumberFormat="1" applyFont="1" applyFill="1" applyBorder="1" applyProtection="1"/>
    <xf numFmtId="167" fontId="1" fillId="8" borderId="8" xfId="0" applyNumberFormat="1" applyFont="1" applyFill="1" applyBorder="1" applyProtection="1"/>
    <xf numFmtId="0" fontId="5" fillId="4" borderId="0" xfId="0" applyFont="1" applyFill="1" applyBorder="1" applyProtection="1"/>
    <xf numFmtId="167" fontId="6" fillId="8" borderId="0" xfId="0" applyNumberFormat="1" applyFont="1" applyFill="1" applyBorder="1" applyAlignment="1" applyProtection="1">
      <alignment horizontal="center"/>
    </xf>
    <xf numFmtId="0" fontId="6" fillId="8" borderId="0" xfId="0" applyFont="1" applyFill="1" applyBorder="1" applyAlignment="1" applyProtection="1">
      <alignment horizontal="center"/>
    </xf>
    <xf numFmtId="0" fontId="6" fillId="6" borderId="0" xfId="0" applyFont="1" applyFill="1" applyBorder="1" applyAlignment="1" applyProtection="1">
      <alignment horizontal="center"/>
    </xf>
    <xf numFmtId="168" fontId="6" fillId="8" borderId="0" xfId="0" applyNumberFormat="1" applyFont="1" applyFill="1" applyBorder="1" applyAlignment="1" applyProtection="1">
      <alignment horizontal="center"/>
    </xf>
    <xf numFmtId="10" fontId="6" fillId="8" borderId="2" xfId="0" applyNumberFormat="1" applyFont="1" applyFill="1" applyBorder="1" applyAlignment="1" applyProtection="1">
      <alignment horizontal="center"/>
    </xf>
    <xf numFmtId="0" fontId="6" fillId="8" borderId="2" xfId="0" applyFont="1" applyFill="1" applyBorder="1" applyAlignment="1" applyProtection="1">
      <alignment horizontal="center"/>
    </xf>
    <xf numFmtId="0" fontId="5" fillId="4" borderId="4" xfId="0" applyFont="1" applyFill="1" applyBorder="1" applyProtection="1"/>
    <xf numFmtId="167" fontId="6" fillId="8" borderId="4" xfId="0" applyNumberFormat="1" applyFont="1" applyFill="1" applyBorder="1" applyAlignment="1" applyProtection="1">
      <alignment horizontal="center"/>
    </xf>
    <xf numFmtId="0" fontId="6" fillId="6" borderId="4" xfId="0" applyFont="1" applyFill="1" applyBorder="1" applyAlignment="1" applyProtection="1">
      <alignment horizontal="center"/>
    </xf>
    <xf numFmtId="168" fontId="6" fillId="8" borderId="4" xfId="0" applyNumberFormat="1" applyFont="1" applyFill="1" applyBorder="1" applyAlignment="1" applyProtection="1">
      <alignment horizontal="center"/>
    </xf>
    <xf numFmtId="10" fontId="6" fillId="8" borderId="5" xfId="0" applyNumberFormat="1" applyFont="1" applyFill="1" applyBorder="1" applyAlignment="1" applyProtection="1">
      <alignment horizontal="center"/>
    </xf>
    <xf numFmtId="0" fontId="5" fillId="4" borderId="7" xfId="0" applyFont="1" applyFill="1" applyBorder="1" applyProtection="1"/>
    <xf numFmtId="0" fontId="6" fillId="8" borderId="7" xfId="0" applyFont="1" applyFill="1" applyBorder="1" applyAlignment="1" applyProtection="1">
      <alignment horizontal="center"/>
    </xf>
    <xf numFmtId="0" fontId="6" fillId="6" borderId="7" xfId="0" applyFont="1" applyFill="1" applyBorder="1" applyAlignment="1" applyProtection="1">
      <alignment horizontal="center"/>
    </xf>
    <xf numFmtId="167" fontId="6" fillId="8" borderId="7" xfId="0" applyNumberFormat="1" applyFont="1" applyFill="1" applyBorder="1" applyAlignment="1" applyProtection="1">
      <alignment horizontal="center"/>
    </xf>
    <xf numFmtId="0" fontId="6" fillId="8" borderId="8" xfId="0" applyFont="1" applyFill="1" applyBorder="1" applyAlignment="1" applyProtection="1">
      <alignment horizontal="center"/>
    </xf>
    <xf numFmtId="168" fontId="1" fillId="8" borderId="0" xfId="0" applyNumberFormat="1" applyFont="1" applyFill="1" applyBorder="1" applyProtection="1"/>
    <xf numFmtId="0" fontId="4" fillId="9" borderId="1" xfId="0" applyFont="1" applyFill="1" applyBorder="1" applyProtection="1"/>
    <xf numFmtId="166" fontId="4" fillId="9" borderId="1" xfId="0" applyNumberFormat="1" applyFont="1" applyFill="1" applyBorder="1" applyProtection="1"/>
    <xf numFmtId="0" fontId="4" fillId="9" borderId="3" xfId="0" applyFont="1" applyFill="1" applyBorder="1" applyProtection="1"/>
    <xf numFmtId="0" fontId="4" fillId="6" borderId="5" xfId="0" applyFont="1" applyFill="1" applyBorder="1" applyProtection="1"/>
    <xf numFmtId="166" fontId="4" fillId="9" borderId="6" xfId="0" applyNumberFormat="1" applyFont="1" applyFill="1" applyBorder="1" applyProtection="1"/>
    <xf numFmtId="168" fontId="1" fillId="8" borderId="7" xfId="0" applyNumberFormat="1" applyFont="1" applyFill="1" applyBorder="1" applyProtection="1"/>
    <xf numFmtId="9" fontId="1" fillId="8" borderId="0" xfId="0" applyNumberFormat="1" applyFont="1" applyFill="1" applyBorder="1" applyProtection="1"/>
    <xf numFmtId="9" fontId="4" fillId="8" borderId="2" xfId="0" applyNumberFormat="1" applyFont="1" applyFill="1" applyBorder="1" applyProtection="1"/>
    <xf numFmtId="0" fontId="1" fillId="6" borderId="4" xfId="0" applyFont="1" applyFill="1" applyBorder="1" applyProtection="1"/>
    <xf numFmtId="0" fontId="4" fillId="4" borderId="5" xfId="0" applyFont="1" applyFill="1" applyBorder="1" applyProtection="1"/>
    <xf numFmtId="0" fontId="4" fillId="9" borderId="6" xfId="0" applyFont="1" applyFill="1" applyBorder="1" applyProtection="1"/>
    <xf numFmtId="167" fontId="4" fillId="8" borderId="8" xfId="0" applyNumberFormat="1" applyFont="1" applyFill="1" applyBorder="1" applyProtection="1"/>
    <xf numFmtId="0" fontId="8" fillId="4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F172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Patrimônio por horizonte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F172A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Patrimônio projetado</c:v>
          </c:tx>
          <c:spPr>
            <a:ln w="31750" cap="rnd">
              <a:solidFill>
                <a:srgbClr val="0F766E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FFFFF"/>
              </a:solidFill>
              <a:ln w="9525">
                <a:solidFill>
                  <a:srgbClr val="0F766E"/>
                </a:solidFill>
                <a:prstDash val="solid"/>
              </a:ln>
              <a:effectLst/>
            </c:spPr>
          </c:marker>
          <c:dLbls>
            <c:numFmt formatCode="[$R$-416]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'Simulador FII'!$B$19:$F$19</c:f>
              <c:numCache>
                <c:formatCode>0\ "anos"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'Simulador FII'!$B$20:$F$20</c:f>
              <c:numCache>
                <c:formatCode>[$R$-416]\ #,##0</c:formatCode>
                <c:ptCount val="5"/>
                <c:pt idx="0">
                  <c:v>41885.616626680108</c:v>
                </c:pt>
                <c:pt idx="1">
                  <c:v>121831.94826268955</c:v>
                </c:pt>
                <c:pt idx="2">
                  <c:v>318345.77636176982</c:v>
                </c:pt>
                <c:pt idx="3">
                  <c:v>1146598.6386474541</c:v>
                </c:pt>
                <c:pt idx="4">
                  <c:v>3301497.0378800253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6-4B18-86C2-EF3C4C272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610719"/>
        <c:axId val="1424001615"/>
      </c:lineChart>
      <c:catAx>
        <c:axId val="142561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Prazo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\ &quot;anos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001615"/>
        <c:crosses val="autoZero"/>
        <c:auto val="1"/>
        <c:lblAlgn val="ctr"/>
        <c:lblOffset val="100"/>
        <c:noMultiLvlLbl val="0"/>
      </c:catAx>
      <c:valAx>
        <c:axId val="1424001615"/>
        <c:scaling>
          <c:orientation val="minMax"/>
          <c:max val="3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Patrimônio (R$ milhões)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R$-416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561071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</c:dispUnitsLbl>
        </c:dispUnits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Evolução do Patrimônio">
          <a:extLst>
            <a:ext uri="{FF2B5EF4-FFF2-40B4-BE49-F238E27FC236}">
              <a16:creationId xmlns:a16="http://schemas.microsoft.com/office/drawing/2014/main" id="{F4B9A252-F84D-A071-6AFE-16E19F7D0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44AB-9BE8-4F30-A5D0-E1963DF20366}">
  <sheetPr>
    <tabColor rgb="FF0F766E"/>
  </sheetPr>
  <dimension ref="A1:L38"/>
  <sheetViews>
    <sheetView showGridLines="0" tabSelected="1" workbookViewId="0">
      <selection activeCell="N7" sqref="N7"/>
    </sheetView>
  </sheetViews>
  <sheetFormatPr defaultRowHeight="15" x14ac:dyDescent="0.25"/>
  <cols>
    <col min="1" max="1" width="3.42578125" customWidth="1"/>
    <col min="2" max="2" width="24.7109375" customWidth="1"/>
    <col min="3" max="3" width="13.7109375" customWidth="1"/>
    <col min="4" max="4" width="17.5703125" customWidth="1"/>
    <col min="5" max="5" width="3" customWidth="1"/>
    <col min="6" max="11" width="14.140625" customWidth="1"/>
    <col min="12" max="12" width="3.42578125" customWidth="1"/>
  </cols>
  <sheetData>
    <row r="1" spans="1:12" ht="39.950000000000003" customHeight="1" x14ac:dyDescent="0.4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1.95" customHeight="1" x14ac:dyDescent="0.25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ht="21.9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1.95" customHeight="1" x14ac:dyDescent="0.25">
      <c r="A4" s="4"/>
      <c r="B4" s="13" t="s">
        <v>1</v>
      </c>
      <c r="C4" s="10"/>
      <c r="D4" s="18"/>
      <c r="E4" s="4"/>
      <c r="F4" s="13" t="s">
        <v>8</v>
      </c>
      <c r="G4" s="10"/>
      <c r="H4" s="10"/>
      <c r="I4" s="10"/>
      <c r="J4" s="10"/>
      <c r="K4" s="18"/>
      <c r="L4" s="4"/>
    </row>
    <row r="5" spans="1:12" ht="21.95" customHeight="1" x14ac:dyDescent="0.25">
      <c r="A5" s="4"/>
      <c r="B5" s="14"/>
      <c r="C5" s="7"/>
      <c r="D5" s="19"/>
      <c r="E5" s="4"/>
      <c r="F5" s="14"/>
      <c r="G5" s="7"/>
      <c r="H5" s="7"/>
      <c r="I5" s="7"/>
      <c r="J5" s="7"/>
      <c r="K5" s="19"/>
      <c r="L5" s="4"/>
    </row>
    <row r="6" spans="1:12" ht="21.95" customHeight="1" x14ac:dyDescent="0.25">
      <c r="A6" s="4"/>
      <c r="B6" s="15" t="s">
        <v>2</v>
      </c>
      <c r="C6" s="8"/>
      <c r="D6" s="20">
        <v>5300</v>
      </c>
      <c r="E6" s="4"/>
      <c r="F6" s="34" t="s">
        <v>9</v>
      </c>
      <c r="G6" s="27"/>
      <c r="H6" s="27"/>
      <c r="I6" s="27" t="s">
        <v>10</v>
      </c>
      <c r="J6" s="27"/>
      <c r="K6" s="39"/>
      <c r="L6" s="4"/>
    </row>
    <row r="7" spans="1:12" ht="21.95" customHeight="1" x14ac:dyDescent="0.3">
      <c r="A7" s="4"/>
      <c r="B7" s="15" t="s">
        <v>3</v>
      </c>
      <c r="C7" s="8"/>
      <c r="D7" s="21">
        <v>0.3</v>
      </c>
      <c r="E7" s="4"/>
      <c r="F7" s="35">
        <f>aporte</f>
        <v>1590</v>
      </c>
      <c r="G7" s="28"/>
      <c r="H7" s="28"/>
      <c r="I7" s="29" t="str">
        <f>prazo_anos&amp;" anos"</f>
        <v>10 anos</v>
      </c>
      <c r="J7" s="29"/>
      <c r="K7" s="40"/>
      <c r="L7" s="4"/>
    </row>
    <row r="8" spans="1:12" ht="21.95" customHeight="1" x14ac:dyDescent="0.3">
      <c r="A8" s="4"/>
      <c r="B8" s="15" t="s">
        <v>4</v>
      </c>
      <c r="C8" s="8"/>
      <c r="D8" s="22">
        <v>8.0000000000000002E-3</v>
      </c>
      <c r="E8" s="4"/>
      <c r="F8" s="36" t="s">
        <v>11</v>
      </c>
      <c r="G8" s="30"/>
      <c r="H8" s="30"/>
      <c r="I8" s="30" t="s">
        <v>12</v>
      </c>
      <c r="J8" s="30"/>
      <c r="K8" s="41"/>
      <c r="L8" s="4"/>
    </row>
    <row r="9" spans="1:12" ht="21.95" customHeight="1" x14ac:dyDescent="0.3">
      <c r="A9" s="4"/>
      <c r="B9" s="15" t="s">
        <v>5</v>
      </c>
      <c r="C9" s="8"/>
      <c r="D9" s="23">
        <v>10</v>
      </c>
      <c r="E9" s="4"/>
      <c r="F9" s="37">
        <f>patrimonio</f>
        <v>318345.77636176982</v>
      </c>
      <c r="G9" s="31"/>
      <c r="H9" s="31"/>
      <c r="I9" s="28">
        <f>patrimonio*taxa_mensal</f>
        <v>2546.7662108941586</v>
      </c>
      <c r="J9" s="28"/>
      <c r="K9" s="42"/>
      <c r="L9" s="4"/>
    </row>
    <row r="10" spans="1:12" ht="21.95" customHeight="1" x14ac:dyDescent="0.3">
      <c r="A10" s="4"/>
      <c r="B10" s="15" t="s">
        <v>6</v>
      </c>
      <c r="C10" s="8"/>
      <c r="D10" s="24" t="s">
        <v>7</v>
      </c>
      <c r="E10" s="4"/>
      <c r="F10" s="36" t="s">
        <v>13</v>
      </c>
      <c r="G10" s="30"/>
      <c r="H10" s="30"/>
      <c r="I10" s="30" t="s">
        <v>14</v>
      </c>
      <c r="J10" s="30"/>
      <c r="K10" s="41"/>
      <c r="L10" s="4"/>
    </row>
    <row r="11" spans="1:12" ht="21.95" customHeight="1" x14ac:dyDescent="0.3">
      <c r="A11" s="4"/>
      <c r="B11" s="14"/>
      <c r="C11" s="7"/>
      <c r="D11" s="19"/>
      <c r="E11" s="4"/>
      <c r="F11" s="38">
        <f>taxa_mensal</f>
        <v>8.0000000000000002E-3</v>
      </c>
      <c r="G11" s="32"/>
      <c r="H11" s="32"/>
      <c r="I11" s="33" t="str">
        <f>perfil_investidor</f>
        <v>Moderado</v>
      </c>
      <c r="J11" s="33"/>
      <c r="K11" s="43"/>
      <c r="L11" s="4"/>
    </row>
    <row r="12" spans="1:12" ht="21.95" customHeight="1" x14ac:dyDescent="0.25">
      <c r="A12" s="4"/>
      <c r="B12" s="16" t="s">
        <v>45</v>
      </c>
      <c r="C12" s="9"/>
      <c r="D12" s="25">
        <f>salario*percentual_aporte</f>
        <v>1590</v>
      </c>
      <c r="E12" s="4"/>
      <c r="F12" s="4"/>
      <c r="G12" s="4"/>
      <c r="H12" s="4"/>
      <c r="I12" s="4"/>
      <c r="J12" s="4"/>
      <c r="K12" s="4"/>
      <c r="L12" s="4"/>
    </row>
    <row r="13" spans="1:12" ht="21.95" customHeight="1" x14ac:dyDescent="0.25">
      <c r="A13" s="4"/>
      <c r="B13" s="16" t="s">
        <v>46</v>
      </c>
      <c r="C13" s="9"/>
      <c r="D13" s="25">
        <f>-FV(taxa_mensal,prazo_anos*12,aporte,0,0)</f>
        <v>318345.77636176982</v>
      </c>
      <c r="E13" s="4"/>
      <c r="F13" s="4"/>
      <c r="G13" s="4"/>
      <c r="H13" s="4"/>
      <c r="I13" s="4"/>
      <c r="J13" s="4"/>
      <c r="K13" s="4"/>
      <c r="L13" s="4"/>
    </row>
    <row r="14" spans="1:12" ht="21.95" customHeight="1" x14ac:dyDescent="0.25">
      <c r="A14" s="4"/>
      <c r="B14" s="17" t="s">
        <v>47</v>
      </c>
      <c r="C14" s="11"/>
      <c r="D14" s="26">
        <f>patrimonio*taxa_mensal</f>
        <v>2546.7662108941586</v>
      </c>
      <c r="E14" s="4"/>
      <c r="F14" s="4"/>
      <c r="G14" s="4"/>
      <c r="H14" s="4"/>
      <c r="I14" s="4"/>
      <c r="J14" s="4"/>
      <c r="K14" s="4"/>
      <c r="L14" s="4"/>
    </row>
    <row r="15" spans="1:12" ht="21.9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21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21.95" customHeight="1" x14ac:dyDescent="0.25">
      <c r="A17" s="4"/>
      <c r="B17" s="5" t="s">
        <v>48</v>
      </c>
      <c r="C17" s="5"/>
      <c r="D17" s="5"/>
      <c r="E17" s="5"/>
      <c r="F17" s="5"/>
      <c r="G17" s="4"/>
      <c r="H17" s="4"/>
      <c r="I17" s="4"/>
      <c r="J17" s="4"/>
      <c r="K17" s="4"/>
      <c r="L17" s="4"/>
    </row>
    <row r="18" spans="1:12" ht="21.9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21.95" customHeight="1" x14ac:dyDescent="0.25">
      <c r="A19" s="47" t="s">
        <v>49</v>
      </c>
      <c r="B19" s="46">
        <v>2</v>
      </c>
      <c r="C19" s="46">
        <v>5</v>
      </c>
      <c r="D19" s="46">
        <v>10</v>
      </c>
      <c r="E19" s="46">
        <v>20</v>
      </c>
      <c r="F19" s="49">
        <v>30</v>
      </c>
      <c r="G19" s="4"/>
      <c r="H19" s="4"/>
      <c r="I19" s="4"/>
      <c r="J19" s="4"/>
      <c r="K19" s="4"/>
      <c r="L19" s="4"/>
    </row>
    <row r="20" spans="1:12" ht="21.95" customHeight="1" x14ac:dyDescent="0.25">
      <c r="A20" s="15" t="s">
        <v>50</v>
      </c>
      <c r="B20" s="44">
        <f>-FV(taxa_mensal,B$19*12,aporte,0,0)</f>
        <v>41885.616626680108</v>
      </c>
      <c r="C20" s="44">
        <f>-FV(taxa_mensal,C$19*12,aporte,0,0)</f>
        <v>121831.94826268955</v>
      </c>
      <c r="D20" s="44">
        <f>-FV(taxa_mensal,D$19*12,aporte,0,0)</f>
        <v>318345.77636176982</v>
      </c>
      <c r="E20" s="44">
        <f>-FV(taxa_mensal,E$19*12,aporte,0,0)</f>
        <v>1146598.6386474541</v>
      </c>
      <c r="F20" s="50">
        <f>-FV(taxa_mensal,F$19*12,aporte,0,0)</f>
        <v>3301497.0378800253</v>
      </c>
      <c r="G20" s="4"/>
      <c r="H20" s="4"/>
      <c r="I20" s="4"/>
      <c r="J20" s="4"/>
      <c r="K20" s="4"/>
      <c r="L20" s="4"/>
    </row>
    <row r="21" spans="1:12" ht="21.95" customHeight="1" x14ac:dyDescent="0.25">
      <c r="A21" s="48" t="s">
        <v>51</v>
      </c>
      <c r="B21" s="12">
        <f>B20*taxa_mensal</f>
        <v>335.08493301344089</v>
      </c>
      <c r="C21" s="12">
        <f>C20*taxa_mensal</f>
        <v>974.65558610151641</v>
      </c>
      <c r="D21" s="12">
        <f>D20*taxa_mensal</f>
        <v>2546.7662108941586</v>
      </c>
      <c r="E21" s="12">
        <f>E20*taxa_mensal</f>
        <v>9172.7891091796337</v>
      </c>
      <c r="F21" s="26">
        <f>F20*taxa_mensal</f>
        <v>26411.976303040203</v>
      </c>
      <c r="G21" s="4"/>
      <c r="H21" s="4"/>
      <c r="I21" s="4"/>
      <c r="J21" s="4"/>
      <c r="K21" s="4"/>
      <c r="L21" s="4"/>
    </row>
    <row r="22" spans="1:12" ht="21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1.9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1.9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1.95" customHeight="1" x14ac:dyDescent="0.25">
      <c r="A25" s="4"/>
      <c r="B25" s="5" t="s">
        <v>52</v>
      </c>
      <c r="C25" s="5"/>
      <c r="D25" s="5"/>
      <c r="E25" s="5"/>
      <c r="F25" s="4"/>
      <c r="G25" s="4"/>
      <c r="H25" s="4"/>
      <c r="I25" s="4"/>
      <c r="J25" s="4"/>
      <c r="K25" s="4"/>
      <c r="L25" s="4"/>
    </row>
    <row r="26" spans="1:12" ht="21.9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1.95" customHeight="1" x14ac:dyDescent="0.25">
      <c r="A27" s="4"/>
      <c r="B27" s="47" t="s">
        <v>17</v>
      </c>
      <c r="C27" s="45" t="s">
        <v>53</v>
      </c>
      <c r="D27" s="55" t="s">
        <v>54</v>
      </c>
      <c r="E27" s="4"/>
      <c r="F27" s="4"/>
      <c r="G27" s="4"/>
      <c r="H27" s="4"/>
      <c r="I27" s="4"/>
      <c r="J27" s="4"/>
      <c r="K27" s="4"/>
      <c r="L27" s="4"/>
    </row>
    <row r="28" spans="1:12" ht="21.95" customHeight="1" x14ac:dyDescent="0.25">
      <c r="A28" s="4"/>
      <c r="B28" s="53" t="s">
        <v>21</v>
      </c>
      <c r="C28" s="51">
        <f>IFERROR(VLOOKUP(perfil_investidor&amp;"|"&amp;B28,tabela_perfis,4,FALSE),0)</f>
        <v>0.2</v>
      </c>
      <c r="D28" s="25">
        <f>aporte*C28</f>
        <v>318</v>
      </c>
      <c r="E28" s="4"/>
      <c r="F28" s="4"/>
      <c r="G28" s="4"/>
      <c r="H28" s="4"/>
      <c r="I28" s="4"/>
      <c r="J28" s="4"/>
      <c r="K28" s="4"/>
      <c r="L28" s="4"/>
    </row>
    <row r="29" spans="1:12" ht="21.95" customHeight="1" x14ac:dyDescent="0.25">
      <c r="A29" s="4"/>
      <c r="B29" s="53" t="s">
        <v>23</v>
      </c>
      <c r="C29" s="51">
        <f>IFERROR(VLOOKUP(perfil_investidor&amp;"|"&amp;B29,tabela_perfis,4,FALSE),0)</f>
        <v>0.15</v>
      </c>
      <c r="D29" s="25">
        <f>aporte*C29</f>
        <v>238.5</v>
      </c>
      <c r="E29" s="4"/>
      <c r="F29" s="4"/>
      <c r="G29" s="4"/>
      <c r="H29" s="4"/>
      <c r="I29" s="4"/>
      <c r="J29" s="4"/>
      <c r="K29" s="4"/>
      <c r="L29" s="4"/>
    </row>
    <row r="30" spans="1:12" ht="21.95" customHeight="1" x14ac:dyDescent="0.25">
      <c r="A30" s="4"/>
      <c r="B30" s="53" t="s">
        <v>25</v>
      </c>
      <c r="C30" s="51">
        <f>IFERROR(VLOOKUP(perfil_investidor&amp;"|"&amp;B30,tabela_perfis,4,FALSE),0)</f>
        <v>0.1</v>
      </c>
      <c r="D30" s="25">
        <f>aporte*C30</f>
        <v>159</v>
      </c>
      <c r="E30" s="4"/>
      <c r="F30" s="4"/>
      <c r="G30" s="4"/>
      <c r="H30" s="4"/>
      <c r="I30" s="4"/>
      <c r="J30" s="4"/>
      <c r="K30" s="4"/>
      <c r="L30" s="4"/>
    </row>
    <row r="31" spans="1:12" ht="21.95" customHeight="1" x14ac:dyDescent="0.25">
      <c r="A31" s="4"/>
      <c r="B31" s="53" t="s">
        <v>27</v>
      </c>
      <c r="C31" s="51">
        <f>IFERROR(VLOOKUP(perfil_investidor&amp;"|"&amp;B31,tabela_perfis,4,FALSE),0)</f>
        <v>0.15</v>
      </c>
      <c r="D31" s="25">
        <f>aporte*C31</f>
        <v>238.5</v>
      </c>
      <c r="E31" s="4"/>
      <c r="F31" s="4"/>
      <c r="G31" s="4"/>
      <c r="H31" s="4"/>
      <c r="I31" s="4"/>
      <c r="J31" s="4"/>
      <c r="K31" s="4"/>
      <c r="L31" s="4"/>
    </row>
    <row r="32" spans="1:12" ht="21.95" customHeight="1" x14ac:dyDescent="0.25">
      <c r="A32" s="4"/>
      <c r="B32" s="53" t="s">
        <v>29</v>
      </c>
      <c r="C32" s="51">
        <f>IFERROR(VLOOKUP(perfil_investidor&amp;"|"&amp;B32,tabela_perfis,4,FALSE),0)</f>
        <v>0.3</v>
      </c>
      <c r="D32" s="25">
        <f>aporte*C32</f>
        <v>477</v>
      </c>
      <c r="E32" s="4"/>
      <c r="F32" s="4"/>
      <c r="G32" s="4"/>
      <c r="H32" s="4"/>
      <c r="I32" s="4"/>
      <c r="J32" s="4"/>
      <c r="K32" s="4"/>
      <c r="L32" s="4"/>
    </row>
    <row r="33" spans="1:12" ht="21.95" customHeight="1" x14ac:dyDescent="0.25">
      <c r="A33" s="4"/>
      <c r="B33" s="53" t="s">
        <v>31</v>
      </c>
      <c r="C33" s="51">
        <f>IFERROR(VLOOKUP(perfil_investidor&amp;"|"&amp;B33,tabela_perfis,4,FALSE),0)</f>
        <v>0.1</v>
      </c>
      <c r="D33" s="25">
        <f>aporte*C33</f>
        <v>159</v>
      </c>
      <c r="E33" s="4"/>
      <c r="F33" s="4"/>
      <c r="G33" s="4"/>
      <c r="H33" s="4"/>
      <c r="I33" s="4"/>
      <c r="J33" s="4"/>
      <c r="K33" s="4"/>
      <c r="L33" s="4"/>
    </row>
    <row r="34" spans="1:12" ht="21.95" customHeight="1" x14ac:dyDescent="0.25">
      <c r="A34" s="4"/>
      <c r="B34" s="54" t="s">
        <v>55</v>
      </c>
      <c r="C34" s="52">
        <f>SUM(C28:C33)</f>
        <v>0.99999999999999989</v>
      </c>
      <c r="D34" s="56">
        <f>SUM(D28:D33)</f>
        <v>1590</v>
      </c>
      <c r="E34" s="4"/>
      <c r="F34" s="4"/>
      <c r="G34" s="4"/>
      <c r="H34" s="4"/>
      <c r="I34" s="4"/>
      <c r="J34" s="4"/>
      <c r="K34" s="4"/>
      <c r="L34" s="4"/>
    </row>
    <row r="35" spans="1:12" ht="21.9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21.95" customHeight="1" x14ac:dyDescent="0.25">
      <c r="A36" s="4"/>
      <c r="B36" s="6" t="s">
        <v>56</v>
      </c>
      <c r="C36" s="6"/>
      <c r="D36" s="6"/>
      <c r="E36" s="6"/>
      <c r="F36" s="6"/>
      <c r="G36" s="6"/>
      <c r="H36" s="6"/>
      <c r="I36" s="6"/>
      <c r="J36" s="6"/>
      <c r="K36" s="6"/>
      <c r="L36" s="4"/>
    </row>
    <row r="37" spans="1:12" ht="21.9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21.9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</sheetData>
  <mergeCells count="19">
    <mergeCell ref="F11:H11"/>
    <mergeCell ref="I11:K11"/>
    <mergeCell ref="B17:F17"/>
    <mergeCell ref="B25:E25"/>
    <mergeCell ref="B36:K36"/>
    <mergeCell ref="F8:H8"/>
    <mergeCell ref="I8:K8"/>
    <mergeCell ref="F10:H10"/>
    <mergeCell ref="I10:K10"/>
    <mergeCell ref="F7:H7"/>
    <mergeCell ref="I7:K7"/>
    <mergeCell ref="F9:H9"/>
    <mergeCell ref="I9:K9"/>
    <mergeCell ref="A1:L1"/>
    <mergeCell ref="A2:L2"/>
    <mergeCell ref="B4:D4"/>
    <mergeCell ref="F4:K4"/>
    <mergeCell ref="F6:H6"/>
    <mergeCell ref="I6:K6"/>
  </mergeCells>
  <dataValidations count="5">
    <dataValidation type="list" allowBlank="1" showInputMessage="1" showErrorMessage="1" sqref="D10" xr:uid="{4878C52D-C069-491C-81E3-F8FDE4ADD4B0}">
      <formula1>"Conservador,Moderado,Arrojado"</formula1>
    </dataValidation>
    <dataValidation type="whole" allowBlank="1" showInputMessage="1" showErrorMessage="1" sqref="D9" xr:uid="{E03C51DA-F8E9-49CF-9F29-B15D838ACD1A}">
      <formula1>2</formula1>
      <formula2>30</formula2>
    </dataValidation>
    <dataValidation type="decimal" operator="greaterThan" allowBlank="1" showInputMessage="1" showErrorMessage="1" sqref="D6" xr:uid="{E31FF436-2AB5-4126-B52A-C851CA2F3933}">
      <formula1>0</formula1>
    </dataValidation>
    <dataValidation type="decimal" allowBlank="1" showInputMessage="1" showErrorMessage="1" sqref="D7" xr:uid="{785E787A-9529-4110-8BF5-6C2CC86BA0AA}">
      <formula1>0</formula1>
      <formula2>1</formula2>
    </dataValidation>
    <dataValidation type="decimal" allowBlank="1" showInputMessage="1" showErrorMessage="1" sqref="D8" xr:uid="{D9CC11BD-4FD9-4466-A95C-C53EE37B1E08}">
      <formula1>0</formula1>
      <formula2>0.05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1805-D7D9-460A-95C2-09F6F6446A07}">
  <sheetPr>
    <tabColor rgb="FF64748B"/>
  </sheetPr>
  <dimension ref="A1:D19"/>
  <sheetViews>
    <sheetView showGridLines="0" workbookViewId="0">
      <selection activeCell="C30" sqref="C30"/>
    </sheetView>
  </sheetViews>
  <sheetFormatPr defaultRowHeight="15" x14ac:dyDescent="0.25"/>
  <cols>
    <col min="1" max="1" width="30.140625" bestFit="1" customWidth="1"/>
    <col min="2" max="2" width="12.140625" bestFit="1" customWidth="1"/>
    <col min="3" max="3" width="17.5703125" bestFit="1" customWidth="1"/>
    <col min="4" max="4" width="10.7109375" bestFit="1" customWidth="1"/>
  </cols>
  <sheetData>
    <row r="1" spans="1:4" x14ac:dyDescent="0.2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25">
      <c r="A2" t="s">
        <v>19</v>
      </c>
      <c r="B2" t="s">
        <v>20</v>
      </c>
      <c r="C2" t="s">
        <v>21</v>
      </c>
      <c r="D2" s="1">
        <v>0.1</v>
      </c>
    </row>
    <row r="3" spans="1:4" x14ac:dyDescent="0.25">
      <c r="A3" t="s">
        <v>22</v>
      </c>
      <c r="B3" t="s">
        <v>20</v>
      </c>
      <c r="C3" t="s">
        <v>23</v>
      </c>
      <c r="D3" s="1">
        <v>0.05</v>
      </c>
    </row>
    <row r="4" spans="1:4" x14ac:dyDescent="0.25">
      <c r="A4" t="s">
        <v>24</v>
      </c>
      <c r="B4" t="s">
        <v>20</v>
      </c>
      <c r="C4" t="s">
        <v>25</v>
      </c>
      <c r="D4" s="1">
        <v>0.05</v>
      </c>
    </row>
    <row r="5" spans="1:4" x14ac:dyDescent="0.25">
      <c r="A5" t="s">
        <v>26</v>
      </c>
      <c r="B5" t="s">
        <v>20</v>
      </c>
      <c r="C5" t="s">
        <v>27</v>
      </c>
      <c r="D5" s="1">
        <v>0.15</v>
      </c>
    </row>
    <row r="6" spans="1:4" x14ac:dyDescent="0.25">
      <c r="A6" t="s">
        <v>28</v>
      </c>
      <c r="B6" t="s">
        <v>20</v>
      </c>
      <c r="C6" t="s">
        <v>29</v>
      </c>
      <c r="D6" s="1">
        <v>0.5</v>
      </c>
    </row>
    <row r="7" spans="1:4" x14ac:dyDescent="0.25">
      <c r="A7" t="s">
        <v>30</v>
      </c>
      <c r="B7" t="s">
        <v>20</v>
      </c>
      <c r="C7" t="s">
        <v>31</v>
      </c>
      <c r="D7" s="1">
        <v>0.15</v>
      </c>
    </row>
    <row r="8" spans="1:4" x14ac:dyDescent="0.25">
      <c r="A8" t="s">
        <v>32</v>
      </c>
      <c r="B8" t="s">
        <v>7</v>
      </c>
      <c r="C8" t="s">
        <v>21</v>
      </c>
      <c r="D8" s="1">
        <v>0.2</v>
      </c>
    </row>
    <row r="9" spans="1:4" x14ac:dyDescent="0.25">
      <c r="A9" t="s">
        <v>33</v>
      </c>
      <c r="B9" t="s">
        <v>7</v>
      </c>
      <c r="C9" t="s">
        <v>23</v>
      </c>
      <c r="D9" s="1">
        <v>0.15</v>
      </c>
    </row>
    <row r="10" spans="1:4" x14ac:dyDescent="0.25">
      <c r="A10" t="s">
        <v>34</v>
      </c>
      <c r="B10" t="s">
        <v>7</v>
      </c>
      <c r="C10" t="s">
        <v>25</v>
      </c>
      <c r="D10" s="1">
        <v>0.1</v>
      </c>
    </row>
    <row r="11" spans="1:4" x14ac:dyDescent="0.25">
      <c r="A11" t="s">
        <v>35</v>
      </c>
      <c r="B11" t="s">
        <v>7</v>
      </c>
      <c r="C11" t="s">
        <v>27</v>
      </c>
      <c r="D11" s="1">
        <v>0.15</v>
      </c>
    </row>
    <row r="12" spans="1:4" x14ac:dyDescent="0.25">
      <c r="A12" t="s">
        <v>36</v>
      </c>
      <c r="B12" t="s">
        <v>7</v>
      </c>
      <c r="C12" t="s">
        <v>29</v>
      </c>
      <c r="D12" s="1">
        <v>0.3</v>
      </c>
    </row>
    <row r="13" spans="1:4" x14ac:dyDescent="0.25">
      <c r="A13" t="s">
        <v>37</v>
      </c>
      <c r="B13" t="s">
        <v>7</v>
      </c>
      <c r="C13" t="s">
        <v>31</v>
      </c>
      <c r="D13" s="1">
        <v>0.1</v>
      </c>
    </row>
    <row r="14" spans="1:4" x14ac:dyDescent="0.25">
      <c r="A14" t="s">
        <v>38</v>
      </c>
      <c r="B14" t="s">
        <v>39</v>
      </c>
      <c r="C14" t="s">
        <v>21</v>
      </c>
      <c r="D14" s="1">
        <v>0.25</v>
      </c>
    </row>
    <row r="15" spans="1:4" x14ac:dyDescent="0.25">
      <c r="A15" t="s">
        <v>40</v>
      </c>
      <c r="B15" t="s">
        <v>39</v>
      </c>
      <c r="C15" t="s">
        <v>23</v>
      </c>
      <c r="D15" s="1">
        <v>0.2</v>
      </c>
    </row>
    <row r="16" spans="1:4" x14ac:dyDescent="0.25">
      <c r="A16" t="s">
        <v>41</v>
      </c>
      <c r="B16" t="s">
        <v>39</v>
      </c>
      <c r="C16" t="s">
        <v>25</v>
      </c>
      <c r="D16" s="1">
        <v>0.15</v>
      </c>
    </row>
    <row r="17" spans="1:4" x14ac:dyDescent="0.25">
      <c r="A17" t="s">
        <v>42</v>
      </c>
      <c r="B17" t="s">
        <v>39</v>
      </c>
      <c r="C17" t="s">
        <v>27</v>
      </c>
      <c r="D17" s="1">
        <v>0.15</v>
      </c>
    </row>
    <row r="18" spans="1:4" x14ac:dyDescent="0.25">
      <c r="A18" t="s">
        <v>43</v>
      </c>
      <c r="B18" t="s">
        <v>39</v>
      </c>
      <c r="C18" t="s">
        <v>29</v>
      </c>
      <c r="D18" s="1">
        <v>0.15</v>
      </c>
    </row>
    <row r="19" spans="1:4" x14ac:dyDescent="0.25">
      <c r="A19" t="s">
        <v>44</v>
      </c>
      <c r="B19" t="s">
        <v>39</v>
      </c>
      <c r="C19" t="s">
        <v>31</v>
      </c>
      <c r="D19" s="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Simulador FII</vt:lpstr>
      <vt:lpstr>Apoio</vt:lpstr>
      <vt:lpstr>aporte</vt:lpstr>
      <vt:lpstr>patrimonio</vt:lpstr>
      <vt:lpstr>percentual_aporte</vt:lpstr>
      <vt:lpstr>perfil_investidor</vt:lpstr>
      <vt:lpstr>prazo_anos</vt:lpstr>
      <vt:lpstr>salario</vt:lpstr>
      <vt:lpstr>tabela_perfis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LUCAS LIRA DA SILVA</dc:creator>
  <cp:lastModifiedBy>JOÃO LUCAS LIRA DA SILVA</cp:lastModifiedBy>
  <dcterms:created xsi:type="dcterms:W3CDTF">2026-10-05T23:30:08Z</dcterms:created>
  <dcterms:modified xsi:type="dcterms:W3CDTF">2026-10-05T23:39:54Z</dcterms:modified>
</cp:coreProperties>
</file>