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1679ab59a4796c/Documentos/"/>
    </mc:Choice>
  </mc:AlternateContent>
  <xr:revisionPtr revIDLastSave="0" documentId="8_{D6FB89F0-9079-42B2-B6FC-310D6591B4D5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4" l="1"/>
  <c r="J5" i="4"/>
  <c r="G5" i="4"/>
  <c r="D5" i="4"/>
  <c r="A5" i="4"/>
  <c r="H11" i="3"/>
  <c r="H10" i="3"/>
  <c r="E11" i="3"/>
  <c r="E10" i="3"/>
  <c r="B20" i="3"/>
  <c r="B19" i="3"/>
  <c r="B18" i="3"/>
  <c r="B17" i="3"/>
  <c r="B16" i="3"/>
  <c r="B15" i="3"/>
  <c r="B14" i="3"/>
  <c r="B13" i="3"/>
  <c r="B12" i="3"/>
  <c r="B11" i="3"/>
  <c r="B10" i="3"/>
  <c r="K10" i="3"/>
  <c r="K9" i="3"/>
  <c r="H9" i="3"/>
  <c r="E9" i="3"/>
  <c r="B9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<sst xmlns="http://schemas.openxmlformats.org/spreadsheetml/2006/main" count="2023" uniqueCount="334">
  <si>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</si>
  <si>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</si>
  <si>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</si>
  <si>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</si>
  <si>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</si>
  <si>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</si>
  <si>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</si>
  <si>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</si>
  <si>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</si>
  <si>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</si>
  <si>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</si>
  <si>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</si>
  <si>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</si>
  <si>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</si>
  <si>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</si>
  <si>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</si>
  <si>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</si>
  <si>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</si>
  <si>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</si>
  <si>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</si>
  <si>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</si>
  <si>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</si>
  <si>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</si>
  <si>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</si>
  <si>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</si>
  <si>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</si>
  <si>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</si>
  <si>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</si>
  <si>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</si>
  <si>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</si>
  <si>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</si>
  <si>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</si>
  <si>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</si>
  <si>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</si>
  <si>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</si>
  <si>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</si>
  <si>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</si>
  <si>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</si>
  <si>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</si>
  <si>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</si>
  <si>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</si>
  <si>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</si>
  <si>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</si>
  <si>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</si>
  <si>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</si>
  <si>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</si>
  <si>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</si>
  <si>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</si>
  <si>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</si>
  <si>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</si>
  <si>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</si>
  <si>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</si>
  <si>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</si>
  <si>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</si>
  <si>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</si>
  <si>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</si>
  <si>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</si>
  <si>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</si>
  <si>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</si>
  <si>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</si>
  <si>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</si>
  <si>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</si>
  <si>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</si>
  <si>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</si>
  <si>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</si>
  <si>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</si>
  <si>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</si>
  <si>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</si>
  <si>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</si>
  <si>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</si>
  <si>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</si>
  <si>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</si>
  <si>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</si>
  <si>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</si>
  <si>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</si>
  <si>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</si>
  <si>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</si>
  <si>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</si>
  <si>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</si>
  <si>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</si>
  <si>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</si>
  <si>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</si>
  <si>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</si>
  <si>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</si>
  <si>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</si>
  <si>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</si>
  <si>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</si>
  <si>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</si>
  <si>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</si>
  <si>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</si>
  <si>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</si>
  <si>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</si>
  <si>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</si>
  <si>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</si>
  <si>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</si>
  <si>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</si>
  <si>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</si>
  <si>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</si>
  <si>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</si>
  <si>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</si>
  <si>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</si>
  <si>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</si>
  <si>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</si>
  <si>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</si>
  <si>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</si>
  <si>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</si>
  <si>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</si>
  <si>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</si>
  <si>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</si>
  <si>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</si>
  <si>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</si>
  <si>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</si>
  <si>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</si>
  <si>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</si>
  <si>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</si>
  <si>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</si>
  <si>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</si>
  <si>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</si>
  <si>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</si>
  <si>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</si>
  <si>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</si>
  <si>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</si>
  <si>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</si>
  <si>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</si>
  <si>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</si>
  <si>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</si>
  <si>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</si>
  <si>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</si>
  <si>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</si>
  <si>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</si>
  <si>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</si>
  <si>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</si>
  <si>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</si>
  <si>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</si>
  <si>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</si>
  <si>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</si>
  <si>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</si>
  <si>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</si>
  <si>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</si>
  <si>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</si>
  <si>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</si>
  <si>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</si>
  <si>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</si>
  <si>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</si>
  <si>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</si>
  <si>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</si>
  <si>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</si>
  <si>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</si>
  <si>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</si>
  <si>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</si>
  <si>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</si>
  <si>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</si>
  <si>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</si>
  <si>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</si>
  <si>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</si>
  <si>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</si>
  <si>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</si>
  <si>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</si>
  <si>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</si>
  <si>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</si>
  <si>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</si>
  <si>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</si>
  <si>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</si>
  <si>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</si>
  <si>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</si>
  <si>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</si>
  <si>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</si>
  <si>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</si>
  <si>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</si>
  <si>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</si>
  <si>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</si>
  <si>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</si>
  <si>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</si>
  <si>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</si>
  <si>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</si>
  <si>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</si>
  <si>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</si>
  <si>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</si>
  <si>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</si>
  <si>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</si>
  <si>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</si>
  <si>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</si>
  <si>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</si>
  <si>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</si>
  <si>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</si>
  <si>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</si>
  <si>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</si>
  <si>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</si>
  <si>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</si>
  <si>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</si>
  <si>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</si>
  <si>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</si>
  <si>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</si>
  <si>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</si>
  <si>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</si>
  <si>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</si>
  <si>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</si>
  <si>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</si>
  <si>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</si>
  <si>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</si>
  <si>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</si>
  <si>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</si>
  <si>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</si>
  <si>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</si>
  <si>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</si>
  <si>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</si>
  <si>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</si>
  <si>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</si>
  <si>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</si>
  <si>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</si>
  <si>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</si>
  <si>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</si>
  <si>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</si>
  <si>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</si>
  <si>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</si>
  <si>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</si>
  <si>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</si>
  <si>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</si>
  <si>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</si>
  <si>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</si>
  <si>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</si>
  <si>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</si>
  <si>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</si>
  <si>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</si>
  <si>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</si>
  <si>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</si>
  <si>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</si>
  <si>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</si>
  <si>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</si>
  <si>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</si>
  <si>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</si>
  <si>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</si>
  <si>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</si>
  <si>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</si>
  <si>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</si>
  <si>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</si>
  <si>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</si>
  <si>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</si>
  <si>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</si>
  <si>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</si>
  <si>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</si>
  <si>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</si>
  <si>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</si>
  <si>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</si>
  <si>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</si>
  <si>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</si>
  <si>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</si>
  <si>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</si>
  <si>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</si>
  <si>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</si>
  <si>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</si>
  <si>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</si>
  <si>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</si>
  <si>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</si>
  <si>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</si>
  <si>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</si>
  <si>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</si>
  <si>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</si>
  <si>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</si>
  <si>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</si>
  <si>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</si>
  <si>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</si>
  <si>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</si>
  <si>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</si>
  <si>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</si>
  <si>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</si>
  <si>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</si>
  <si>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</si>
  <si>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</si>
  <si>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</si>
  <si>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</si>
  <si>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</si>
  <si>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</si>
  <si>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</si>
  <si>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</si>
  <si>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</si>
  <si>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</si>
  <si>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</si>
  <si>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</si>
  <si>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</si>
  <si>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</si>
  <si>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</si>
  <si>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</si>
  <si>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</si>
  <si>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</si>
  <si>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</si>
  <si>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</si>
  <si>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</si>
  <si>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</si>
  <si>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</si>
  <si>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</si>
  <si>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</si>
  <si>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</si>
  <si>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</si>
  <si>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</si>
  <si>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</si>
  <si>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</si>
  <si>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</si>
  <si>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</si>
  <si>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</si>
  <si>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</si>
  <si>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</si>
  <si>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</si>
  <si>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</si>
  <si>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</si>
  <si>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</si>
  <si>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</si>
  <si>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</si>
  <si>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</si>
  <si>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</si>
  <si>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</si>
  <si>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</si>
  <si>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</si>
  <si>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Indicador</t>
  </si>
  <si>
    <t>Valor</t>
  </si>
  <si>
    <t>Receita total</t>
  </si>
  <si>
    <t>Assinantes</t>
  </si>
  <si>
    <t>Ticket médio</t>
  </si>
  <si>
    <t>Taxa de renovação</t>
  </si>
  <si>
    <t>Cupons concedidos</t>
  </si>
  <si>
    <t>Mês</t>
  </si>
  <si>
    <t>Receita</t>
  </si>
  <si>
    <t>Plano</t>
  </si>
  <si>
    <t>Tipo</t>
  </si>
  <si>
    <t>Adicional</t>
  </si>
  <si>
    <t>EA Play</t>
  </si>
  <si>
    <t>Minecraft</t>
  </si>
  <si>
    <t>XBOX | DASHBOARD DE VENDAS</t>
  </si>
  <si>
    <t>Desempenho de assinaturas, receita e adicionais • 2024</t>
  </si>
  <si>
    <t>RECEITA TOTAL</t>
  </si>
  <si>
    <t>ASSINANTES</t>
  </si>
  <si>
    <t>TICKET MÉDIO</t>
  </si>
  <si>
    <t>RENOVAÇÃO AUTOMÁTICA</t>
  </si>
  <si>
    <t>ECOSSISTEMA XBOX  •  JOGOS &amp; COMUNIDADE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</si>
</sst>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5" formatCode="0.0%"/>
    <numFmt numFmtId="166" formatCode="mmm"/>
    <numFmt numFmtId="168" formatCode="&quot;R$&quot;\ #,##0.00"/>
    <numFmt numFmtId="169" formatCode="&quot;R$&quot;\ #,##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</font>
    <font>
      <sz val="11"/>
      <color rgb="FFE8E6E9"/>
      <name val="Aptos"/>
    </font>
    <font>
      <b/>
      <sz val="22"/>
      <color rgb="FF9BC848"/>
      <name val="Aptos Narrow"/>
      <family val="2"/>
      <scheme val="minor"/>
    </font>
    <font>
      <sz val="10"/>
      <color rgb="FFAAB4AD"/>
      <name val="Aptos Narrow"/>
      <family val="2"/>
      <scheme val="minor"/>
    </font>
    <font>
      <b/>
      <sz val="9"/>
      <color rgb="FF9BC848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sz val="9"/>
      <color rgb="FF7F8C84"/>
      <name val="Aptos Narrow"/>
      <family val="2"/>
      <scheme val="minor"/>
    </font>
    <font>
      <b/>
      <sz val="11"/>
      <color rgb="FFFFFFFF"/>
      <name val="Aptos"/>
    </font>
    <font>
      <sz val="11"/>
      <color rgb="FF172018"/>
      <name val="Aptos"/>
    </font>
    <font>
      <b/>
      <sz val="11"/>
      <color rgb="FF9BC84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B0F0C"/>
        <bgColor indexed="64"/>
      </patternFill>
    </fill>
    <fill>
      <patternFill patternType="solid">
        <fgColor rgb="FF172018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F4F7F4"/>
        <bgColor indexed="64"/>
      </patternFill>
    </fill>
    <fill>
      <patternFill patternType="solid">
        <fgColor rgb="FF10171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8" borderId="0" xfId="0" applyFont="1" applyFill="1"/>
    <xf numFmtId="0" fontId="8" fillId="9" borderId="0" xfId="0" applyFont="1" applyFill="1" applyAlignment="1">
      <alignment horizontal="center"/>
    </xf>
    <xf numFmtId="0" fontId="9" fillId="9" borderId="0" xfId="0" applyFont="1" applyFill="1" applyAlignment="1">
      <alignment horizontal="center" vertical="center"/>
    </xf>
    <xf numFmtId="3" fontId="9" fillId="9" borderId="0" xfId="0" applyNumberFormat="1" applyFont="1" applyFill="1" applyAlignment="1">
      <alignment horizontal="center" vertical="center"/>
    </xf>
    <xf numFmtId="165" fontId="9" fillId="9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168" fontId="9" fillId="9" borderId="0" xfId="0" applyNumberFormat="1" applyFont="1" applyFill="1" applyAlignment="1">
      <alignment horizontal="center" vertical="center"/>
    </xf>
    <xf numFmtId="0" fontId="4" fillId="0" borderId="0" xfId="0" applyFont="1"/>
    <xf numFmtId="0" fontId="11" fillId="10" borderId="0" xfId="0" applyFont="1" applyFill="1" applyAlignment="1">
      <alignment horizontal="center"/>
    </xf>
    <xf numFmtId="0" fontId="12" fillId="11" borderId="0" xfId="0" applyFont="1" applyFill="1"/>
    <xf numFmtId="168" fontId="12" fillId="11" borderId="0" xfId="0" applyNumberFormat="1" applyFont="1" applyFill="1"/>
    <xf numFmtId="3" fontId="12" fillId="11" borderId="0" xfId="0" applyNumberFormat="1" applyFont="1" applyFill="1"/>
    <xf numFmtId="165" fontId="12" fillId="11" borderId="0" xfId="0" applyNumberFormat="1" applyFont="1" applyFill="1"/>
    <xf numFmtId="166" fontId="12" fillId="11" borderId="0" xfId="0" applyNumberFormat="1" applyFont="1" applyFill="1"/>
    <xf numFmtId="169" fontId="12" fillId="11" borderId="0" xfId="0" applyNumberFormat="1" applyFont="1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13" fillId="12" borderId="0" xfId="0" applyFont="1" applyFill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8E6E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C̳álculos!$B$8</c:f>
              <c:strCache>
                <c:ptCount val="1"/>
                <c:pt idx="0">
                  <c:v>Receita</c:v>
                </c:pt>
              </c:strCache>
            </c:strRef>
          </c:tx>
          <c:spPr>
            <a:ln w="31750" cap="rnd">
              <a:solidFill>
                <a:srgbClr val="9BC848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C̳álculos!$A$9:$A$20</c:f>
              <c:numCache>
                <c:formatCode>mmm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C̳álculos!$B$9:$B$20</c:f>
              <c:numCache>
                <c:formatCode>"R$"\ 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9-4961-85C5-998B01973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131968"/>
        <c:axId val="1990026512"/>
      </c:lineChart>
      <c:dateAx>
        <c:axId val="1389131968"/>
        <c:scaling>
          <c:orientation val="minMax"/>
        </c:scaling>
        <c:delete val="0"/>
        <c:axPos val="b"/>
        <c:numFmt formatCode="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B4AD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0026512"/>
        <c:crosses val="autoZero"/>
        <c:auto val="1"/>
        <c:lblOffset val="100"/>
        <c:baseTimeUnit val="months"/>
      </c:dateAx>
      <c:valAx>
        <c:axId val="1990026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B4AD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131968"/>
        <c:crosses val="autoZero"/>
        <c:crossBetween val="between"/>
      </c:valAx>
      <c:spPr>
        <a:solidFill>
          <a:srgbClr val="172018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7201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8E6E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C̳álculos!$E$8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numFmt formatCode="&quot;R$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C̳álculos!$D$9:$D$11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C̳álculos!$E$9:$E$11</c:f>
              <c:numCache>
                <c:formatCode>"R$"\ 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0-4D5E-B7C2-7708B1F51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9182080"/>
        <c:axId val="1990021232"/>
      </c:barChart>
      <c:catAx>
        <c:axId val="1389182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90021232"/>
        <c:crosses val="autoZero"/>
        <c:auto val="1"/>
        <c:lblAlgn val="ctr"/>
        <c:lblOffset val="100"/>
        <c:noMultiLvlLbl val="0"/>
      </c:catAx>
      <c:valAx>
        <c:axId val="19900212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B4AD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182080"/>
        <c:crosses val="autoZero"/>
        <c:crossBetween val="between"/>
      </c:valAx>
      <c:spPr>
        <a:solidFill>
          <a:srgbClr val="172018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7201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Mix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8E6E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C̳álculos!$H$8</c:f>
              <c:strCache>
                <c:ptCount val="1"/>
                <c:pt idx="0">
                  <c:v>Assinantes</c:v>
                </c:pt>
              </c:strCache>
            </c:strRef>
          </c:tx>
          <c:dPt>
            <c:idx val="0"/>
            <c:bubble3D val="0"/>
            <c:spPr>
              <a:solidFill>
                <a:srgbClr val="9BC84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0C-489B-B680-58629E452DC6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0C-489B-B680-58629E452DC6}"/>
              </c:ext>
            </c:extLst>
          </c:dPt>
          <c:dPt>
            <c:idx val="2"/>
            <c:bubble3D val="0"/>
            <c:spPr>
              <a:solidFill>
                <a:srgbClr val="2AE6B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0C-489B-B680-58629E452DC6}"/>
              </c:ext>
            </c:extLst>
          </c:dPt>
          <c:dLbls>
            <c:numFmt formatCode="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C̳álculos!$G$9:$G$11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C̳álculos!$H$9:$H$11</c:f>
              <c:numCache>
                <c:formatCode>#,##0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C-489B-B680-58629E452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rgbClr val="172018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C8D0CA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7201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de adicionais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8E6E9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C̳álculos!$K$8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numFmt formatCode="&quot;R$&quot;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C̳álculos!$J$9:$J$10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C̳álculos!$K$9:$K$10</c:f>
              <c:numCache>
                <c:formatCode>"R$"\ #,##0</c:formatCode>
                <c:ptCount val="2"/>
                <c:pt idx="0">
                  <c:v>2940</c:v>
                </c:pt>
                <c:pt idx="1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B-4FC2-8FA4-FBBE478BD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155632"/>
        <c:axId val="1435777712"/>
      </c:barChart>
      <c:catAx>
        <c:axId val="138915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8E6E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5777712"/>
        <c:crosses val="autoZero"/>
        <c:auto val="1"/>
        <c:lblAlgn val="ctr"/>
        <c:lblOffset val="100"/>
        <c:noMultiLvlLbl val="0"/>
      </c:catAx>
      <c:valAx>
        <c:axId val="1435777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B4AD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9155632"/>
        <c:crosses val="autoZero"/>
        <c:crossBetween val="between"/>
      </c:valAx>
      <c:spPr>
        <a:solidFill>
          <a:srgbClr val="172018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7201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chart" Target="../charts/chart3.xml"/><Relationship Id="rId7" Type="http://schemas.openxmlformats.org/officeDocument/2006/relationships/image" Target="../media/image7.pn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1.png"/><Relationship Id="rId11" Type="http://schemas.openxmlformats.org/officeDocument/2006/relationships/image" Target="../media/image5.png"/><Relationship Id="rId5" Type="http://schemas.openxmlformats.org/officeDocument/2006/relationships/image" Target="../media/image1.png"/><Relationship Id="rId10" Type="http://schemas.openxmlformats.org/officeDocument/2006/relationships/image" Target="../media/image10.svg"/><Relationship Id="rId4" Type="http://schemas.openxmlformats.org/officeDocument/2006/relationships/chart" Target="../charts/chart4.xml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247649</xdr:rowOff>
    </xdr:from>
    <xdr:to>
      <xdr:col>7</xdr:col>
      <xdr:colOff>0</xdr:colOff>
      <xdr:row>21</xdr:row>
      <xdr:rowOff>247649</xdr:rowOff>
    </xdr:to>
    <xdr:graphicFrame macro="">
      <xdr:nvGraphicFramePr>
        <xdr:cNvPr id="5" name="Receita Mensal">
          <a:extLst>
            <a:ext uri="{FF2B5EF4-FFF2-40B4-BE49-F238E27FC236}">
              <a16:creationId xmlns:a16="http://schemas.microsoft.com/office/drawing/2014/main" id="{D674FB2E-6CD0-1F7C-1E0D-BAC55FF1B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8</xdr:row>
      <xdr:rowOff>247649</xdr:rowOff>
    </xdr:from>
    <xdr:to>
      <xdr:col>14</xdr:col>
      <xdr:colOff>0</xdr:colOff>
      <xdr:row>21</xdr:row>
      <xdr:rowOff>247649</xdr:rowOff>
    </xdr:to>
    <xdr:graphicFrame macro="">
      <xdr:nvGraphicFramePr>
        <xdr:cNvPr id="6" name="Receita por Plano">
          <a:extLst>
            <a:ext uri="{FF2B5EF4-FFF2-40B4-BE49-F238E27FC236}">
              <a16:creationId xmlns:a16="http://schemas.microsoft.com/office/drawing/2014/main" id="{8856CDD0-7957-F04D-FB24-1E504AEA2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247649</xdr:rowOff>
    </xdr:from>
    <xdr:to>
      <xdr:col>7</xdr:col>
      <xdr:colOff>0</xdr:colOff>
      <xdr:row>36</xdr:row>
      <xdr:rowOff>247649</xdr:rowOff>
    </xdr:to>
    <xdr:graphicFrame macro="">
      <xdr:nvGraphicFramePr>
        <xdr:cNvPr id="7" name="Mix de Assinaturas">
          <a:extLst>
            <a:ext uri="{FF2B5EF4-FFF2-40B4-BE49-F238E27FC236}">
              <a16:creationId xmlns:a16="http://schemas.microsoft.com/office/drawing/2014/main" id="{1A48CB5D-2D78-E170-FBF8-B04ED8310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22</xdr:row>
      <xdr:rowOff>247649</xdr:rowOff>
    </xdr:from>
    <xdr:to>
      <xdr:col>14</xdr:col>
      <xdr:colOff>0</xdr:colOff>
      <xdr:row>36</xdr:row>
      <xdr:rowOff>247649</xdr:rowOff>
    </xdr:to>
    <xdr:graphicFrame macro="">
      <xdr:nvGraphicFramePr>
        <xdr:cNvPr id="8" name="Receita de Adicionais">
          <a:extLst>
            <a:ext uri="{FF2B5EF4-FFF2-40B4-BE49-F238E27FC236}">
              <a16:creationId xmlns:a16="http://schemas.microsoft.com/office/drawing/2014/main" id="{E522D88B-A05D-E54A-DDE0-E53E70FA6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484894</xdr:colOff>
      <xdr:row>0</xdr:row>
      <xdr:rowOff>165479</xdr:rowOff>
    </xdr:from>
    <xdr:to>
      <xdr:col>2</xdr:col>
      <xdr:colOff>239005</xdr:colOff>
      <xdr:row>1</xdr:row>
      <xdr:rowOff>115507</xdr:rowOff>
    </xdr:to>
    <xdr:pic>
      <xdr:nvPicPr>
        <xdr:cNvPr id="10" name="Xbox Logo Principal">
          <a:extLst>
            <a:ext uri="{FF2B5EF4-FFF2-40B4-BE49-F238E27FC236}">
              <a16:creationId xmlns:a16="http://schemas.microsoft.com/office/drawing/2014/main" id="{F6B6B653-7EFC-43C6-8AA4-DFC67D70B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4894" y="165479"/>
          <a:ext cx="1230486" cy="378653"/>
        </a:xfrm>
        <a:prstGeom prst="rect">
          <a:avLst/>
        </a:prstGeom>
      </xdr:spPr>
    </xdr:pic>
    <xdr:clientData/>
  </xdr:twoCellAnchor>
  <xdr:twoCellAnchor editAs="oneCell">
    <xdr:from>
      <xdr:col>11</xdr:col>
      <xdr:colOff>383951</xdr:colOff>
      <xdr:row>0</xdr:row>
      <xdr:rowOff>12538</xdr:rowOff>
    </xdr:from>
    <xdr:to>
      <xdr:col>14</xdr:col>
      <xdr:colOff>261936</xdr:colOff>
      <xdr:row>2</xdr:row>
      <xdr:rowOff>47625</xdr:rowOff>
    </xdr:to>
    <xdr:pic>
      <xdr:nvPicPr>
        <xdr:cNvPr id="11" name="Xbox Game Pass Logo">
          <a:extLst>
            <a:ext uri="{FF2B5EF4-FFF2-40B4-BE49-F238E27FC236}">
              <a16:creationId xmlns:a16="http://schemas.microsoft.com/office/drawing/2014/main" id="{56A2B196-13C4-4685-8D86-177D83376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4014" y="12538"/>
          <a:ext cx="2092547" cy="737556"/>
        </a:xfrm>
        <a:prstGeom prst="rect">
          <a:avLst/>
        </a:prstGeom>
      </xdr:spPr>
    </xdr:pic>
    <xdr:clientData/>
  </xdr:twoCellAnchor>
  <xdr:twoCellAnchor editAs="oneCell">
    <xdr:from>
      <xdr:col>0</xdr:col>
      <xdr:colOff>440817</xdr:colOff>
      <xdr:row>6</xdr:row>
      <xdr:rowOff>259841</xdr:rowOff>
    </xdr:from>
    <xdr:to>
      <xdr:col>1</xdr:col>
      <xdr:colOff>287845</xdr:colOff>
      <xdr:row>9</xdr:row>
      <xdr:rowOff>35432</xdr:rowOff>
    </xdr:to>
    <xdr:pic>
      <xdr:nvPicPr>
        <xdr:cNvPr id="12" name="Xbox Logo de Jogo 1">
          <a:extLst>
            <a:ext uri="{FF2B5EF4-FFF2-40B4-BE49-F238E27FC236}">
              <a16:creationId xmlns:a16="http://schemas.microsoft.com/office/drawing/2014/main" id="{90CFC18B-CBE6-4068-8CD0-566CF9BAB8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817" y="2105310"/>
          <a:ext cx="585216" cy="585216"/>
        </a:xfrm>
        <a:prstGeom prst="rect">
          <a:avLst/>
        </a:prstGeom>
      </xdr:spPr>
    </xdr:pic>
    <xdr:clientData/>
  </xdr:twoCellAnchor>
  <xdr:twoCellAnchor editAs="absolute">
    <xdr:from>
      <xdr:col>10</xdr:col>
      <xdr:colOff>282936</xdr:colOff>
      <xdr:row>7</xdr:row>
      <xdr:rowOff>47244</xdr:rowOff>
    </xdr:from>
    <xdr:to>
      <xdr:col>11</xdr:col>
      <xdr:colOff>350475</xdr:colOff>
      <xdr:row>8</xdr:row>
      <xdr:rowOff>188499</xdr:rowOff>
    </xdr:to>
    <xdr:grpSp>
      <xdr:nvGrpSpPr>
        <xdr:cNvPr id="13" name="Xbox Logo de Jogo 2">
          <a:extLst>
            <a:ext uri="{FF2B5EF4-FFF2-40B4-BE49-F238E27FC236}">
              <a16:creationId xmlns:a16="http://schemas.microsoft.com/office/drawing/2014/main" id="{8C9B41B1-80C5-4768-9A06-450390AD790F}"/>
            </a:ext>
          </a:extLst>
        </xdr:cNvPr>
        <xdr:cNvGrpSpPr>
          <a:grpSpLocks/>
        </xdr:cNvGrpSpPr>
      </xdr:nvGrpSpPr>
      <xdr:grpSpPr>
        <a:xfrm>
          <a:off x="7664811" y="2202275"/>
          <a:ext cx="805727" cy="391287"/>
          <a:chOff x="3495675" y="5400674"/>
          <a:chExt cx="1549476" cy="752476"/>
        </a:xfrm>
      </xdr:grpSpPr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A8034ECE-D887-4E19-9206-DB72C10B2C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5" name="Gráfico 14">
            <a:extLst>
              <a:ext uri="{FF2B5EF4-FFF2-40B4-BE49-F238E27FC236}">
                <a16:creationId xmlns:a16="http://schemas.microsoft.com/office/drawing/2014/main" id="{0C09B932-1F8F-FC44-E1F0-56929A5C883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128778</xdr:colOff>
      <xdr:row>7</xdr:row>
      <xdr:rowOff>62103</xdr:rowOff>
    </xdr:from>
    <xdr:to>
      <xdr:col>12</xdr:col>
      <xdr:colOff>490347</xdr:colOff>
      <xdr:row>8</xdr:row>
      <xdr:rowOff>173640</xdr:rowOff>
    </xdr:to>
    <xdr:sp macro="" textlink="">
      <xdr:nvSpPr>
        <xdr:cNvPr id="16" name="Xbox Avatar 1">
          <a:extLst>
            <a:ext uri="{FF2B5EF4-FFF2-40B4-BE49-F238E27FC236}">
              <a16:creationId xmlns:a16="http://schemas.microsoft.com/office/drawing/2014/main" id="{A9E2327A-E701-42AE-8039-BFDEB07236A3}"/>
            </a:ext>
          </a:extLst>
        </xdr:cNvPr>
        <xdr:cNvSpPr>
          <a:spLocks/>
        </xdr:cNvSpPr>
      </xdr:nvSpPr>
      <xdr:spPr>
        <a:xfrm>
          <a:off x="8987028" y="2217134"/>
          <a:ext cx="361569" cy="361569"/>
        </a:xfrm>
        <a:prstGeom prst="ellipse">
          <a:avLst/>
        </a:prstGeom>
        <a:blipFill>
          <a:blip xmlns:r="http://schemas.openxmlformats.org/officeDocument/2006/relationships" r:embed="rId1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13</xdr:col>
      <xdr:colOff>124015</xdr:colOff>
      <xdr:row>7</xdr:row>
      <xdr:rowOff>62103</xdr:rowOff>
    </xdr:from>
    <xdr:to>
      <xdr:col>13</xdr:col>
      <xdr:colOff>485584</xdr:colOff>
      <xdr:row>8</xdr:row>
      <xdr:rowOff>173640</xdr:rowOff>
    </xdr:to>
    <xdr:sp macro="" textlink="">
      <xdr:nvSpPr>
        <xdr:cNvPr id="17" name="Xbox Avatar 2">
          <a:extLst>
            <a:ext uri="{FF2B5EF4-FFF2-40B4-BE49-F238E27FC236}">
              <a16:creationId xmlns:a16="http://schemas.microsoft.com/office/drawing/2014/main" id="{7EA0C745-CCA8-465B-9623-3CC7D8582FF7}"/>
            </a:ext>
          </a:extLst>
        </xdr:cNvPr>
        <xdr:cNvSpPr>
          <a:spLocks/>
        </xdr:cNvSpPr>
      </xdr:nvSpPr>
      <xdr:spPr>
        <a:xfrm>
          <a:off x="9720453" y="2217134"/>
          <a:ext cx="361569" cy="361569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L10" sqref="L1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K20"/>
  <sheetViews>
    <sheetView showGridLines="0" workbookViewId="0">
      <selection sqref="A1:XFD1048576"/>
    </sheetView>
  </sheetViews>
  <sheetFormatPr defaultRowHeight="15" x14ac:dyDescent="0.25"/>
  <cols>
    <col min="1" max="1" width="17.140625" customWidth="1"/>
    <col min="2" max="2" width="11.85546875" bestFit="1" customWidth="1"/>
    <col min="3" max="3" width="18.42578125" bestFit="1" customWidth="1"/>
    <col min="4" max="4" width="14.28515625" customWidth="1"/>
    <col min="5" max="5" width="9" bestFit="1" customWidth="1"/>
    <col min="6" max="6" width="19.140625" bestFit="1" customWidth="1"/>
    <col min="7" max="7" width="14.28515625" customWidth="1"/>
    <col min="8" max="8" width="11.85546875" bestFit="1" customWidth="1"/>
    <col min="9" max="9" width="21.140625" bestFit="1" customWidth="1"/>
    <col min="10" max="10" width="16.140625" customWidth="1"/>
    <col min="11" max="11" width="9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11" x14ac:dyDescent="0.25">
      <c r="A1" s="20" t="s">
        <v>313</v>
      </c>
      <c r="B1" s="20" t="s">
        <v>314</v>
      </c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21" t="s">
        <v>315</v>
      </c>
      <c r="B2" s="22">
        <f>SUM(Tabela1[Total Value])</f>
        <v>7633</v>
      </c>
      <c r="C2" s="19"/>
      <c r="D2" s="19"/>
      <c r="E2" s="19"/>
      <c r="F2" s="19"/>
      <c r="G2" s="19"/>
      <c r="H2" s="19"/>
      <c r="I2" s="19"/>
      <c r="J2" s="19"/>
      <c r="K2" s="19"/>
    </row>
    <row r="3" spans="1:11" x14ac:dyDescent="0.25">
      <c r="A3" s="21" t="s">
        <v>316</v>
      </c>
      <c r="B3" s="23">
        <f>COUNTA(Tabela1[Subscriber ID])</f>
        <v>295</v>
      </c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21" t="s">
        <v>317</v>
      </c>
      <c r="B4" s="22">
        <f>AVERAGE(Tabela1[Total Value])</f>
        <v>25.874576271186442</v>
      </c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25">
      <c r="A5" s="21" t="s">
        <v>318</v>
      </c>
      <c r="B5" s="24">
        <f>COUNTIF(Tabela1[Auto Renewal],"Yes")/COUNTA(Tabela1[Subscriber ID])</f>
        <v>0.50169491525423726</v>
      </c>
      <c r="C5" s="19"/>
      <c r="D5" s="19"/>
      <c r="E5" s="19"/>
      <c r="F5" s="19"/>
      <c r="G5" s="19"/>
      <c r="H5" s="19"/>
      <c r="I5" s="19"/>
      <c r="J5" s="19"/>
      <c r="K5" s="19"/>
    </row>
    <row r="6" spans="1:11" x14ac:dyDescent="0.25">
      <c r="A6" s="21" t="s">
        <v>319</v>
      </c>
      <c r="B6" s="22">
        <f>SUM(Tabela1[Coupon Value])</f>
        <v>2122</v>
      </c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20" t="s">
        <v>320</v>
      </c>
      <c r="B8" s="20" t="s">
        <v>321</v>
      </c>
      <c r="C8" s="19"/>
      <c r="D8" s="20" t="s">
        <v>322</v>
      </c>
      <c r="E8" s="20" t="s">
        <v>321</v>
      </c>
      <c r="F8" s="19"/>
      <c r="G8" s="20" t="s">
        <v>323</v>
      </c>
      <c r="H8" s="20" t="s">
        <v>316</v>
      </c>
      <c r="I8" s="19"/>
      <c r="J8" s="20" t="s">
        <v>324</v>
      </c>
      <c r="K8" s="20" t="s">
        <v>321</v>
      </c>
    </row>
    <row r="9" spans="1:11" x14ac:dyDescent="0.25">
      <c r="A9" s="25">
        <v>45292</v>
      </c>
      <c r="B9" s="26">
        <f>SUMIFS(B̳ases!$M$2:$M$296,B̳ases!$D$2:$D$296,"&gt;="&amp;A9,B̳ases!$D$2:$D$296,"&lt;"&amp;DATE(YEAR(A9),MONTH(A9)+1,1))</f>
        <v>65</v>
      </c>
      <c r="C9" s="19"/>
      <c r="D9" s="21" t="s">
        <v>22</v>
      </c>
      <c r="E9" s="26">
        <f>SUMIFS(B̳ases!$M$2:$M$296,B̳ases!$C$2:$C$296,D9)</f>
        <v>444</v>
      </c>
      <c r="F9" s="19"/>
      <c r="G9" s="21" t="s">
        <v>20</v>
      </c>
      <c r="H9" s="23">
        <f>COUNTIF(B̳ases!$G$2:$G$296,G9)</f>
        <v>139</v>
      </c>
      <c r="I9" s="19"/>
      <c r="J9" s="21" t="s">
        <v>325</v>
      </c>
      <c r="K9" s="26">
        <f>SUM(B̳ases!$I$2:$I$296)</f>
        <v>2940</v>
      </c>
    </row>
    <row r="10" spans="1:11" x14ac:dyDescent="0.25">
      <c r="A10" s="25">
        <v>45323</v>
      </c>
      <c r="B10" s="26">
        <f>SUMIFS(B̳ases!$M$2:$M$296,B̳ases!$D$2:$D$296,"&gt;="&amp;A10,B̳ases!$D$2:$D$296,"&lt;"&amp;DATE(YEAR(A10),MONTH(A10)+1,1))</f>
        <v>82</v>
      </c>
      <c r="C10" s="19"/>
      <c r="D10" s="21" t="s">
        <v>26</v>
      </c>
      <c r="E10" s="26">
        <f>SUMIFS(B̳ases!$M$2:$M$296,B̳ases!$C$2:$C$296,D10)</f>
        <v>1801</v>
      </c>
      <c r="F10" s="19"/>
      <c r="G10" s="21" t="s">
        <v>27</v>
      </c>
      <c r="H10" s="23">
        <f>COUNTIF(B̳ases!$G$2:$G$296,G10)</f>
        <v>85</v>
      </c>
      <c r="I10" s="19"/>
      <c r="J10" s="21" t="s">
        <v>326</v>
      </c>
      <c r="K10" s="26">
        <f>SUM(B̳ases!$K$2:$K$296)</f>
        <v>3880</v>
      </c>
    </row>
    <row r="11" spans="1:11" x14ac:dyDescent="0.25">
      <c r="A11" s="25">
        <v>45352</v>
      </c>
      <c r="B11" s="26">
        <f>SUMIFS(B̳ases!$M$2:$M$296,B̳ases!$D$2:$D$296,"&gt;="&amp;A11,B̳ases!$D$2:$D$296,"&lt;"&amp;DATE(YEAR(A11),MONTH(A11)+1,1))</f>
        <v>801</v>
      </c>
      <c r="C11" s="19"/>
      <c r="D11" s="21" t="s">
        <v>18</v>
      </c>
      <c r="E11" s="26">
        <f>SUMIFS(B̳ases!$M$2:$M$296,B̳ases!$C$2:$C$296,D11)</f>
        <v>5388</v>
      </c>
      <c r="F11" s="19"/>
      <c r="G11" s="21" t="s">
        <v>24</v>
      </c>
      <c r="H11" s="23">
        <f>COUNTIF(B̳ases!$G$2:$G$296,G11)</f>
        <v>71</v>
      </c>
      <c r="I11" s="19"/>
      <c r="J11" s="19"/>
      <c r="K11" s="19"/>
    </row>
    <row r="12" spans="1:11" x14ac:dyDescent="0.25">
      <c r="A12" s="25">
        <v>45383</v>
      </c>
      <c r="B12" s="26">
        <f>SUMIFS(B̳ases!$M$2:$M$296,B̳ases!$D$2:$D$296,"&gt;="&amp;A12,B̳ases!$D$2:$D$296,"&lt;"&amp;DATE(YEAR(A12),MONTH(A12)+1,1))</f>
        <v>782</v>
      </c>
      <c r="C12" s="19"/>
      <c r="D12" s="19"/>
      <c r="E12" s="19"/>
      <c r="F12" s="19"/>
      <c r="G12" s="19"/>
      <c r="H12" s="19"/>
      <c r="I12" s="19"/>
      <c r="J12" s="19"/>
      <c r="K12" s="19"/>
    </row>
    <row r="13" spans="1:11" x14ac:dyDescent="0.25">
      <c r="A13" s="25">
        <v>45413</v>
      </c>
      <c r="B13" s="26">
        <f>SUMIFS(B̳ases!$M$2:$M$296,B̳ases!$D$2:$D$296,"&gt;="&amp;A13,B̳ases!$D$2:$D$296,"&lt;"&amp;DATE(YEAR(A13),MONTH(A13)+1,1))</f>
        <v>777</v>
      </c>
      <c r="C13" s="19"/>
      <c r="D13" s="19"/>
      <c r="E13" s="19"/>
      <c r="F13" s="19"/>
      <c r="G13" s="19"/>
      <c r="H13" s="19"/>
      <c r="I13" s="19"/>
      <c r="J13" s="19"/>
      <c r="K13" s="19"/>
    </row>
    <row r="14" spans="1:11" x14ac:dyDescent="0.25">
      <c r="A14" s="25">
        <v>45444</v>
      </c>
      <c r="B14" s="26">
        <f>SUMIFS(B̳ases!$M$2:$M$296,B̳ases!$D$2:$D$296,"&gt;="&amp;A14,B̳ases!$D$2:$D$296,"&lt;"&amp;DATE(YEAR(A14),MONTH(A14)+1,1))</f>
        <v>770</v>
      </c>
      <c r="C14" s="19"/>
      <c r="D14" s="19"/>
      <c r="E14" s="19"/>
      <c r="F14" s="19"/>
      <c r="G14" s="19"/>
      <c r="H14" s="19"/>
      <c r="I14" s="19"/>
      <c r="J14" s="19"/>
      <c r="K14" s="19"/>
    </row>
    <row r="15" spans="1:11" x14ac:dyDescent="0.25">
      <c r="A15" s="25">
        <v>45474</v>
      </c>
      <c r="B15" s="26">
        <f>SUMIFS(B̳ases!$M$2:$M$296,B̳ases!$D$2:$D$296,"&gt;="&amp;A15,B̳ases!$D$2:$D$296,"&lt;"&amp;DATE(YEAR(A15),MONTH(A15)+1,1))</f>
        <v>784</v>
      </c>
      <c r="C15" s="19"/>
      <c r="D15" s="19"/>
      <c r="E15" s="19"/>
      <c r="F15" s="19"/>
      <c r="G15" s="19"/>
      <c r="H15" s="19"/>
      <c r="I15" s="19"/>
      <c r="J15" s="19"/>
      <c r="K15" s="19"/>
    </row>
    <row r="16" spans="1:11" x14ac:dyDescent="0.25">
      <c r="A16" s="25">
        <v>45505</v>
      </c>
      <c r="B16" s="26">
        <f>SUMIFS(B̳ases!$M$2:$M$296,B̳ases!$D$2:$D$296,"&gt;="&amp;A16,B̳ases!$D$2:$D$296,"&lt;"&amp;DATE(YEAR(A16),MONTH(A16)+1,1))</f>
        <v>787</v>
      </c>
      <c r="C16" s="19"/>
      <c r="D16" s="19"/>
      <c r="E16" s="19"/>
      <c r="F16" s="19"/>
      <c r="G16" s="19"/>
      <c r="H16" s="19"/>
      <c r="I16" s="19"/>
      <c r="J16" s="19"/>
      <c r="K16" s="19"/>
    </row>
    <row r="17" spans="1:11" x14ac:dyDescent="0.25">
      <c r="A17" s="25">
        <v>45536</v>
      </c>
      <c r="B17" s="26">
        <f>SUMIFS(B̳ases!$M$2:$M$296,B̳ases!$D$2:$D$296,"&gt;="&amp;A17,B̳ases!$D$2:$D$296,"&lt;"&amp;DATE(YEAR(A17),MONTH(A17)+1,1))</f>
        <v>780</v>
      </c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25">
      <c r="A18" s="25">
        <v>45566</v>
      </c>
      <c r="B18" s="26">
        <f>SUMIFS(B̳ases!$M$2:$M$296,B̳ases!$D$2:$D$296,"&gt;="&amp;A18,B̳ases!$D$2:$D$296,"&lt;"&amp;DATE(YEAR(A18),MONTH(A18)+1,1))</f>
        <v>832</v>
      </c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25">
      <c r="A19" s="25">
        <v>45597</v>
      </c>
      <c r="B19" s="26">
        <f>SUMIFS(B̳ases!$M$2:$M$296,B̳ases!$D$2:$D$296,"&gt;="&amp;A19,B̳ases!$D$2:$D$296,"&lt;"&amp;DATE(YEAR(A19),MONTH(A19)+1,1))</f>
        <v>784</v>
      </c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25">
      <c r="A20" s="25">
        <v>45627</v>
      </c>
      <c r="B20" s="26">
        <f>SUMIFS(B̳ases!$M$2:$M$296,B̳ases!$D$2:$D$296,"&gt;="&amp;A20,B̳ases!$D$2:$D$296,"&lt;"&amp;DATE(YEAR(A20),MONTH(A20)+1,1))</f>
        <v>389</v>
      </c>
      <c r="C20" s="19"/>
      <c r="D20" s="19"/>
      <c r="E20" s="19"/>
      <c r="F20" s="19"/>
      <c r="G20" s="19"/>
      <c r="H20" s="19"/>
      <c r="I20" s="19"/>
      <c r="J20" s="19"/>
      <c r="K20" s="19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N40"/>
  <sheetViews>
    <sheetView showGridLines="0" tabSelected="1" topLeftCell="A4" zoomScale="80" zoomScaleNormal="80" workbookViewId="0">
      <selection activeCell="R21" sqref="R21"/>
    </sheetView>
  </sheetViews>
  <sheetFormatPr defaultRowHeight="15" x14ac:dyDescent="0.25"/>
  <cols>
    <col min="1" max="14" width="11" customWidth="1"/>
  </cols>
  <sheetData>
    <row r="1" spans="1:14" ht="33.950000000000003" customHeight="1" x14ac:dyDescent="0.45">
      <c r="A1" s="27"/>
      <c r="B1" s="27"/>
      <c r="C1" s="27"/>
      <c r="D1" s="29" t="s">
        <v>327</v>
      </c>
      <c r="E1" s="29"/>
      <c r="F1" s="29"/>
      <c r="G1" s="29"/>
      <c r="H1" s="29"/>
      <c r="I1" s="29"/>
      <c r="J1" s="29"/>
      <c r="K1" s="29"/>
      <c r="L1" s="27"/>
      <c r="M1" s="27"/>
      <c r="N1" s="27"/>
    </row>
    <row r="2" spans="1:14" ht="21.95" customHeight="1" x14ac:dyDescent="0.25">
      <c r="A2" s="28"/>
      <c r="B2" s="28"/>
      <c r="C2" s="28"/>
      <c r="D2" s="29" t="s">
        <v>328</v>
      </c>
      <c r="E2" s="29"/>
      <c r="F2" s="29"/>
      <c r="G2" s="29"/>
      <c r="H2" s="29"/>
      <c r="I2" s="29"/>
      <c r="J2" s="29"/>
      <c r="K2" s="29"/>
      <c r="L2" s="28"/>
      <c r="M2" s="28"/>
      <c r="N2" s="28"/>
    </row>
    <row r="3" spans="1:14" ht="20.100000000000001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ht="21.95" customHeight="1" x14ac:dyDescent="0.25">
      <c r="A4" s="13" t="s">
        <v>329</v>
      </c>
      <c r="B4" s="13"/>
      <c r="C4" s="13"/>
      <c r="D4" s="13" t="s">
        <v>330</v>
      </c>
      <c r="E4" s="13"/>
      <c r="F4" s="13"/>
      <c r="G4" s="13" t="s">
        <v>331</v>
      </c>
      <c r="H4" s="13"/>
      <c r="I4" s="13"/>
      <c r="J4" s="13" t="s">
        <v>332</v>
      </c>
      <c r="K4" s="13"/>
      <c r="L4" s="13"/>
      <c r="M4" s="13"/>
      <c r="N4" s="13"/>
    </row>
    <row r="5" spans="1:14" ht="24" customHeight="1" x14ac:dyDescent="0.25">
      <c r="A5" s="18">
        <f>C̳álculos!B2</f>
        <v>7633</v>
      </c>
      <c r="B5" s="14"/>
      <c r="C5" s="14"/>
      <c r="D5" s="15">
        <f>C̳álculos!B3</f>
        <v>295</v>
      </c>
      <c r="E5" s="14"/>
      <c r="F5" s="14"/>
      <c r="G5" s="18">
        <f>C̳álculos!B4</f>
        <v>25.874576271186442</v>
      </c>
      <c r="H5" s="14"/>
      <c r="I5" s="14"/>
      <c r="J5" s="16">
        <f>C̳álculos!B5</f>
        <v>0.50169491525423726</v>
      </c>
      <c r="K5" s="14"/>
      <c r="L5" s="14"/>
      <c r="M5" s="14"/>
      <c r="N5" s="14"/>
    </row>
    <row r="6" spans="1:14" ht="24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1:14" ht="24" customHeight="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spans="1:14" ht="20.100000000000001" customHeight="1" x14ac:dyDescent="0.25">
      <c r="A8" s="12"/>
      <c r="B8" s="12"/>
      <c r="C8" s="30" t="s">
        <v>333</v>
      </c>
      <c r="D8" s="30"/>
      <c r="E8" s="30"/>
      <c r="F8" s="30"/>
      <c r="G8" s="30"/>
      <c r="H8" s="30"/>
      <c r="I8" s="30"/>
      <c r="J8" s="30"/>
      <c r="K8" s="12"/>
      <c r="L8" s="12"/>
      <c r="M8" s="12"/>
      <c r="N8" s="12"/>
    </row>
    <row r="9" spans="1:14" ht="20.100000000000001" customHeight="1" x14ac:dyDescent="0.25">
      <c r="A9" s="12"/>
      <c r="B9" s="12"/>
      <c r="C9" s="30"/>
      <c r="D9" s="30"/>
      <c r="E9" s="30"/>
      <c r="F9" s="30"/>
      <c r="G9" s="30"/>
      <c r="H9" s="30"/>
      <c r="I9" s="30"/>
      <c r="J9" s="30"/>
      <c r="K9" s="12"/>
      <c r="L9" s="12"/>
      <c r="M9" s="12"/>
      <c r="N9" s="12"/>
    </row>
    <row r="10" spans="1:14" ht="20.100000000000001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ht="20.100000000000001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20.10000000000000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ht="20.100000000000001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ht="20.100000000000001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 ht="20.100000000000001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20.100000000000001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20.100000000000001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20.100000000000001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20.100000000000001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20.100000000000001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 ht="20.100000000000001" customHeight="1" x14ac:dyDescent="0.25">
      <c r="A39" s="17" t="str">
        <f>"Base: "&amp;TEXT(MIN(B̳ases!D2:D296),"dd/mm/aaaa")&amp;" a "&amp;TEXT(MAX(B̳ases!D2:D296),"dd/mm/aaaa")&amp;" | 295 assinaturas"</f>
        <v>Base: 01/01/2024 a 16/12/2024 | 295 assinaturas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20.100000000000001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</sheetData>
  <mergeCells count="12">
    <mergeCell ref="A39:N39"/>
    <mergeCell ref="D1:K1"/>
    <mergeCell ref="D2:K2"/>
    <mergeCell ref="C8:J9"/>
    <mergeCell ref="A4:C4"/>
    <mergeCell ref="A5:C7"/>
    <mergeCell ref="D4:F4"/>
    <mergeCell ref="D5:F7"/>
    <mergeCell ref="G4:I4"/>
    <mergeCell ref="G5:I7"/>
    <mergeCell ref="J4:N4"/>
    <mergeCell ref="J5:N7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JOÃO LUCAS LIRA DA SILVA</cp:lastModifiedBy>
  <dcterms:created xsi:type="dcterms:W3CDTF">2024-12-19T13:13:10Z</dcterms:created>
  <dcterms:modified xsi:type="dcterms:W3CDTF">2026-10-14T00:49:10Z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