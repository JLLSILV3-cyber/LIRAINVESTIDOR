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679ab59a4796c/Documentos/"/>
    </mc:Choice>
  </mc:AlternateContent>
  <xr:revisionPtr revIDLastSave="0" documentId="8_{AC7F97D6-A02E-4DE5-A6AF-8085C0F0DFE1}" xr6:coauthVersionLast="47" xr6:coauthVersionMax="47" xr10:uidLastSave="{00000000-0000-0000-0000-000000000000}"/>
  <bookViews>
    <workbookView xWindow="-120" yWindow="-120" windowWidth="20730" windowHeight="11040" tabRatio="1000" xr2:uid="{B4327766-F93F-44BC-AFF4-5DED196389D1}"/>
  </bookViews>
  <sheets>
    <sheet name="Início" sheetId="1" r:id="rId1"/>
    <sheet name="Identificação" sheetId="2" r:id="rId2"/>
    <sheet name="Rendimentos" sheetId="3" r:id="rId3"/>
    <sheet name="Deduções" sheetId="4" r:id="rId4"/>
    <sheet name="Bens e Direitos" sheetId="5" r:id="rId5"/>
    <sheet name="Dívidas" sheetId="6" r:id="rId6"/>
    <sheet name="Resumo" sheetId="7" r:id="rId7"/>
    <sheet name="Instruçõ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7" l="1"/>
  <c r="F16" i="7"/>
  <c r="F17" i="7"/>
  <c r="F18" i="7"/>
  <c r="F19" i="7"/>
  <c r="F20" i="7" a="1"/>
  <c r="F20" i="7" s="1"/>
  <c r="C18" i="7"/>
  <c r="C17" i="7"/>
  <c r="C16" i="7"/>
  <c r="C15" i="7"/>
  <c r="B15" i="7"/>
  <c r="B16" i="7"/>
  <c r="B17" i="7"/>
  <c r="B18" i="7" a="1"/>
  <c r="B18" i="7" s="1"/>
  <c r="E5" i="7"/>
  <c r="E9" i="7" s="1"/>
  <c r="E6" i="7"/>
  <c r="E7" i="7"/>
  <c r="E8" i="7"/>
  <c r="B5" i="7"/>
  <c r="B6" i="7"/>
  <c r="B7" i="7"/>
  <c r="B8" i="7"/>
  <c r="B9" i="7"/>
  <c r="I5" i="5"/>
  <c r="H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<sst xmlns="http://schemas.openxmlformats.org/spreadsheetml/2006/main" count="201" uniqueCount="170">
  <si>
    <t>Agregador de Informações — Imposto de Renda</t>
  </si>
  <si>
    <t>Organize documentos, valide lançamentos e acompanhe o preenchimento em um só lugar.</t>
  </si>
  <si>
    <t>MENU DE NAVEGAÇÃO</t>
  </si>
  <si>
    <t>1. Identificação</t>
  </si>
  <si>
    <t>Dados do contribuinte e dependentes</t>
  </si>
  <si>
    <t>2. Rendimentos</t>
  </si>
  <si>
    <t>Receitas tributáveis, isentas e exclusivas</t>
  </si>
  <si>
    <t>3. Deduções</t>
  </si>
  <si>
    <t>Despesas e pagamentos dedutíveis</t>
  </si>
  <si>
    <t>4. Bens e Direitos</t>
  </si>
  <si>
    <t>Posição patrimonial e documentos</t>
  </si>
  <si>
    <t>5. Dívidas</t>
  </si>
  <si>
    <t>Obrigações e saldos</t>
  </si>
  <si>
    <t>6. Resumo</t>
  </si>
  <si>
    <t>Consolidação automática e pendências</t>
  </si>
  <si>
    <t>7. Instruções</t>
  </si>
  <si>
    <t>Guia de uso e documentação</t>
  </si>
  <si>
    <t>FLUXO RECOMENDADO</t>
  </si>
  <si>
    <t>Cadastre-se  →  Lance os dados  →  Marque documentos  →  Revise o Resumo  →  Exporte/declare</t>
  </si>
  <si>
    <t>Observação: esta pasta organiza informações e oferece totais indicativos. A apuração final deve ser conferida no programa oficial da declaração e, quando necessário, com profissional habilitado.</t>
  </si>
  <si>
    <t>Identificação do Contribuinte</t>
  </si>
  <si>
    <t>Preencha os dados básicos e mantenha os documentos de dependentes organizados.</t>
  </si>
  <si>
    <t>Campo</t>
  </si>
  <si>
    <t>Informação</t>
  </si>
  <si>
    <t>Nome completo</t>
  </si>
  <si>
    <t>JOÃO LUCAS LIRA DA SILVA</t>
  </si>
  <si>
    <t>CPF</t>
  </si>
  <si>
    <t>Data de nascimento</t>
  </si>
  <si>
    <t>Ano-base</t>
  </si>
  <si>
    <t>Tipo de declaração</t>
  </si>
  <si>
    <t>Em definição</t>
  </si>
  <si>
    <t>Telefone</t>
  </si>
  <si>
    <t>E-mail</t>
  </si>
  <si>
    <t>DEPENDENTES</t>
  </si>
  <si>
    <t>Nome</t>
  </si>
  <si>
    <t>Nascimento</t>
  </si>
  <si>
    <t>Parentesco</t>
  </si>
  <si>
    <t>Dependente em outra declaração?</t>
  </si>
  <si>
    <t>Documento conferido?</t>
  </si>
  <si>
    <t>EXEMPLO — exclua ou substitua</t>
  </si>
  <si>
    <t>000.000.000-00</t>
  </si>
  <si>
    <t>2015-01-01T02:00:00.000Z</t>
  </si>
  <si>
    <t>Filho(a)</t>
  </si>
  <si>
    <t>Não</t>
  </si>
  <si>
    <t>Rendimentos</t>
  </si>
  <si>
    <t>Registre cada informe separadamente; somente linhas com “Incluir = Sim” entram no Resumo.</t>
  </si>
  <si>
    <t>Incluir</t>
  </si>
  <si>
    <t>Categoria</t>
  </si>
  <si>
    <t>Fonte pagadora</t>
  </si>
  <si>
    <t>CPF/CNPJ</t>
  </si>
  <si>
    <t>Descrição</t>
  </si>
  <si>
    <t>Valor</t>
  </si>
  <si>
    <t>IR retido</t>
  </si>
  <si>
    <t>Documento</t>
  </si>
  <si>
    <t>Status</t>
  </si>
  <si>
    <t>Observações</t>
  </si>
  <si>
    <t>Tributável</t>
  </si>
  <si>
    <t>EMPRESA EXEMPLO</t>
  </si>
  <si>
    <t>00.000.000/0000-00</t>
  </si>
  <si>
    <t>Salário — exemplo</t>
  </si>
  <si>
    <t>Informe de rendimentos</t>
  </si>
  <si>
    <t>Exemplo</t>
  </si>
  <si>
    <t>Substitua esta linha</t>
  </si>
  <si>
    <t>Deduções e Pagamentos</t>
  </si>
  <si>
    <t>Centralize comprovantes; a dedutibilidade e os limites devem ser confirmados no programa oficial.</t>
  </si>
  <si>
    <t>Beneficiário</t>
  </si>
  <si>
    <t>Valor pago</t>
  </si>
  <si>
    <t>Reembolso</t>
  </si>
  <si>
    <t>Valor líquido</t>
  </si>
  <si>
    <t>Saúde</t>
  </si>
  <si>
    <t>CLÍNICA EXEMPLO</t>
  </si>
  <si>
    <t>Consulta — exemplo</t>
  </si>
  <si>
    <t>Bens e Direitos</t>
  </si>
  <si>
    <t>Controle a posição inicial e final, a titularidade e a documentação de cada item.</t>
  </si>
  <si>
    <t>Grupo</t>
  </si>
  <si>
    <t>Descrição do bem</t>
  </si>
  <si>
    <t>Titular</t>
  </si>
  <si>
    <t>País</t>
  </si>
  <si>
    <t>Situação inicial</t>
  </si>
  <si>
    <t>Aquisições</t>
  </si>
  <si>
    <t>Baixas</t>
  </si>
  <si>
    <t>Situação final</t>
  </si>
  <si>
    <t>Conta bancária</t>
  </si>
  <si>
    <t>CONTA EXEMPLO</t>
  </si>
  <si>
    <t>Brasil</t>
  </si>
  <si>
    <t>Dívidas e Ônus</t>
  </si>
  <si>
    <t>Registre credor, natureza e saldos para acompanhar a variação anual.</t>
  </si>
  <si>
    <t>Credor</t>
  </si>
  <si>
    <t>Natureza</t>
  </si>
  <si>
    <t>Saldo inicial</t>
  </si>
  <si>
    <t>Pagamentos</t>
  </si>
  <si>
    <t>Saldo final</t>
  </si>
  <si>
    <t>BANCO EXEMPLO</t>
  </si>
  <si>
    <t>Empréstimo</t>
  </si>
  <si>
    <t>Resumo da Organização Fiscal</t>
  </si>
  <si>
    <t>Painel automático com base apenas nos registros marcados para inclusão.</t>
  </si>
  <si>
    <t>INDICADOR</t>
  </si>
  <si>
    <t>VALOR</t>
  </si>
  <si>
    <t>Rendimentos incluídos</t>
  </si>
  <si>
    <t>IR retido informado</t>
  </si>
  <si>
    <t>Deduções líquidas</t>
  </si>
  <si>
    <t>Bens — situação final</t>
  </si>
  <si>
    <t>Dívidas — saldo final</t>
  </si>
  <si>
    <t>CONTROLE</t>
  </si>
  <si>
    <t>QUANTIDADE</t>
  </si>
  <si>
    <t>Rendimentos pendentes</t>
  </si>
  <si>
    <t>Deduções pendentes</t>
  </si>
  <si>
    <t>Bens pendentes</t>
  </si>
  <si>
    <t>Dívidas pendentes</t>
  </si>
  <si>
    <t>Total de pendências</t>
  </si>
  <si>
    <t>VISÃO POR CATEGORIA</t>
  </si>
  <si>
    <t>Participação</t>
  </si>
  <si>
    <t>Isento</t>
  </si>
  <si>
    <t>Tributação exclusiva</t>
  </si>
  <si>
    <t>Outros / exterior</t>
  </si>
  <si>
    <t>Deduções</t>
  </si>
  <si>
    <t>Educação</t>
  </si>
  <si>
    <t>Previdência</t>
  </si>
  <si>
    <t>Pensão</t>
  </si>
  <si>
    <t>Doação</t>
  </si>
  <si>
    <t>Outras</t>
  </si>
  <si>
    <t>Leitura do painel: pendências sinalizam documentos ainda não conferidos. Os totais são organizacionais e não representam cálculo definitivo do imposto.</t>
  </si>
  <si>
    <t>Guia de Uso e Documentação Técnica</t>
  </si>
  <si>
    <t>Fluxo recomendado para usar, validar e documentar o projeto.</t>
  </si>
  <si>
    <t>COMO USAR</t>
  </si>
  <si>
    <t>Etapa</t>
  </si>
  <si>
    <t>Ação</t>
  </si>
  <si>
    <t>Onde</t>
  </si>
  <si>
    <t>Resultado esperado</t>
  </si>
  <si>
    <t>Preencher dados do contribuinte</t>
  </si>
  <si>
    <t>Identificação</t>
  </si>
  <si>
    <t>Cadastro básico completo</t>
  </si>
  <si>
    <t>Substituir ou excluir linhas de exemplo</t>
  </si>
  <si>
    <t>Abas de lançamentos</t>
  </si>
  <si>
    <t>Base limpa para uso real</t>
  </si>
  <si>
    <t>Adicionar um registro por documento</t>
  </si>
  <si>
    <t>Rendimentos / Deduções / Bens / Dívidas</t>
  </si>
  <si>
    <t>Rastreabilidade por comprovante</t>
  </si>
  <si>
    <t>Marcar Incluir = Sim e atualizar o status</t>
  </si>
  <si>
    <t>Todas as tabelas</t>
  </si>
  <si>
    <t>Somente dados válidos entram no resumo</t>
  </si>
  <si>
    <t>Revisar totais e pendências</t>
  </si>
  <si>
    <t>Resumo</t>
  </si>
  <si>
    <t>Checklist final antes da declaração</t>
  </si>
  <si>
    <t>VALIDAÇÕES IMPLEMENTADAS</t>
  </si>
  <si>
    <t>Recurso</t>
  </si>
  <si>
    <t>Aplicação</t>
  </si>
  <si>
    <t>Benefício</t>
  </si>
  <si>
    <t>Listas suspensas</t>
  </si>
  <si>
    <t>Categoria, status e inclusão</t>
  </si>
  <si>
    <t>Padroniza e reduz erros de digitação</t>
  </si>
  <si>
    <t>Linhas de exemplo desativadas</t>
  </si>
  <si>
    <t>Incluir = Não</t>
  </si>
  <si>
    <t>Demonstra sem afetar os totais</t>
  </si>
  <si>
    <t>Resumo por fórmulas</t>
  </si>
  <si>
    <t>Indicadores e categorias</t>
  </si>
  <si>
    <t>Atualização automática e auditável</t>
  </si>
  <si>
    <t>DOCUMENTAÇÃO PARA O GITHUB</t>
  </si>
  <si>
    <t>Arquivo / seção</t>
  </si>
  <si>
    <t>Conteúdo sugerido</t>
  </si>
  <si>
    <t>README.md</t>
  </si>
  <si>
    <t>Objetivo, funcionalidades, capturas de tela, instruções e limitações</t>
  </si>
  <si>
    <t>/images</t>
  </si>
  <si>
    <t>Imagens da tela inicial, validações e resumo</t>
  </si>
  <si>
    <t>Versões</t>
  </si>
  <si>
    <t>Histórico das melhorias realizadas no projeto</t>
  </si>
  <si>
    <t>Testes</t>
  </si>
  <si>
    <t>Casos: inclusão Sim/Não, pendência, totais e categorias</t>
  </si>
  <si>
    <t>Limitação</t>
  </si>
  <si>
    <t>Não substitui o programa oficial nem orientação tributária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</si>
</sst>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00.000.000\-00"/>
    <numFmt numFmtId="168" formatCode="0.0%"/>
  </numFmts>
  <fonts count="8" x14ac:knownFonts="1">
    <font>
      <sz val="11"/>
      <color theme="1"/>
      <name val="Aptos Narrow"/>
      <family val="2"/>
      <scheme val="minor"/>
    </font>
    <font>
      <sz val="10"/>
      <color rgb="FF243447"/>
      <name val="Aptos"/>
    </font>
    <font>
      <b/>
      <sz val="20"/>
      <color rgb="FFFFFFFF"/>
      <name val="Aptos"/>
    </font>
    <font>
      <i/>
      <sz val="10"/>
      <color rgb="FF52616B"/>
      <name val="Aptos"/>
    </font>
    <font>
      <b/>
      <sz val="10"/>
      <color rgb="FF243447"/>
      <name val="Aptos"/>
    </font>
    <font>
      <b/>
      <sz val="10"/>
      <color rgb="FFFFFFFF"/>
      <name val="Aptos"/>
    </font>
    <font>
      <b/>
      <sz val="13"/>
      <color rgb="FF243447"/>
      <name val="Aptos"/>
    </font>
    <font>
      <b/>
      <sz val="12"/>
      <color rgb="FF243447"/>
      <name val="Apto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B7A78"/>
        <bgColor indexed="64"/>
      </patternFill>
    </fill>
    <fill>
      <patternFill patternType="solid">
        <fgColor rgb="FFDDEFEF"/>
        <bgColor indexed="64"/>
      </patternFill>
    </fill>
    <fill>
      <patternFill patternType="solid">
        <fgColor rgb="FFF3F7F7"/>
        <bgColor indexed="64"/>
      </patternFill>
    </fill>
    <fill>
      <patternFill patternType="solid">
        <fgColor rgb="FFE8F3ED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EF4F6"/>
        <bgColor indexed="64"/>
      </patternFill>
    </fill>
    <fill>
      <patternFill patternType="solid">
        <fgColor rgb="FFFFFDF4"/>
        <bgColor indexed="64"/>
      </patternFill>
    </fill>
    <fill>
      <patternFill patternType="solid">
        <fgColor rgb="FFFA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/>
    <xf numFmtId="0" fontId="3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1" fillId="8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164" fontId="1" fillId="10" borderId="0" xfId="0" applyNumberFormat="1" applyFont="1" applyFill="1" applyAlignment="1">
      <alignment vertical="center"/>
    </xf>
    <xf numFmtId="14" fontId="1" fillId="1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168" fontId="1" fillId="11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8" fontId="1" fillId="2" borderId="0" xfId="0" applyNumberFormat="1" applyFont="1" applyFill="1" applyAlignment="1">
      <alignment vertical="center"/>
    </xf>
    <xf numFmtId="8" fontId="0" fillId="0" borderId="0" xfId="0" applyNumberFormat="1"/>
    <xf numFmtId="8" fontId="6" fillId="6" borderId="0" xfId="0" applyNumberFormat="1" applyFont="1" applyFill="1" applyAlignment="1">
      <alignment vertical="center"/>
    </xf>
    <xf numFmtId="8" fontId="1" fillId="11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Border="1" applyAlignment="1">
      <alignment vertical="center"/>
    </xf>
  </cellXfs>
  <cellStyles count="1">
    <cellStyle name="Normal" xfId="0" builtinId="0"/>
  </cellStyles>
  <dxfs count="64">
    <dxf>
      <font>
        <b/>
        <i val="0"/>
        <color rgb="FF8A5A00"/>
      </font>
      <fill>
        <patternFill patternType="solid">
          <fgColor indexed="64"/>
          <bgColor rgb="FFFFF0C2"/>
        </patternFill>
      </fill>
    </dxf>
    <dxf>
      <font>
        <color rgb="FF1F6B45"/>
      </font>
      <fill>
        <patternFill patternType="solid">
          <fgColor indexed="64"/>
          <bgColor rgb="FFE8F3ED"/>
        </patternFill>
      </fill>
    </dxf>
    <dxf>
      <font>
        <b/>
        <i val="0"/>
        <color rgb="FFB42318"/>
      </font>
      <fill>
        <patternFill patternType="solid">
          <fgColor indexed="64"/>
          <bgColor rgb="FFFDE8E7"/>
        </patternFill>
      </fill>
    </dxf>
    <dxf>
      <font>
        <color rgb="FF1F6B45"/>
      </font>
      <fill>
        <patternFill patternType="solid">
          <fgColor indexed="64"/>
          <bgColor rgb="FFE8F3ED"/>
        </patternFill>
      </fill>
    </dxf>
    <dxf>
      <font>
        <b/>
        <i val="0"/>
        <color rgb="FFB42318"/>
      </font>
      <fill>
        <patternFill patternType="solid">
          <fgColor indexed="64"/>
          <bgColor rgb="FFFDE8E7"/>
        </patternFill>
      </fill>
    </dxf>
    <dxf>
      <font>
        <color rgb="FF1F6B45"/>
      </font>
      <fill>
        <patternFill patternType="solid">
          <fgColor indexed="64"/>
          <bgColor rgb="FFE8F3ED"/>
        </patternFill>
      </fill>
    </dxf>
    <dxf>
      <font>
        <b/>
        <i val="0"/>
        <color rgb="FFB42318"/>
      </font>
      <fill>
        <patternFill patternType="solid">
          <fgColor indexed="64"/>
          <bgColor rgb="FFFDE8E7"/>
        </patternFill>
      </fill>
    </dxf>
    <dxf>
      <font>
        <color rgb="FF1F6B45"/>
      </font>
      <fill>
        <patternFill patternType="solid">
          <fgColor indexed="64"/>
          <bgColor rgb="FFE8F3ED"/>
        </patternFill>
      </fill>
    </dxf>
    <dxf>
      <font>
        <b/>
        <i val="0"/>
        <color rgb="FFB42318"/>
      </font>
      <fill>
        <patternFill patternType="solid">
          <fgColor indexed="64"/>
          <bgColor rgb="FFFDE8E7"/>
        </patternFill>
      </fill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9" formatCode="dd/mm/yyyy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243447"/>
        <name val="Aptos"/>
      </font>
      <fill>
        <patternFill patternType="solid">
          <fgColor indexed="64"/>
          <bgColor rgb="FFFFFFFF"/>
        </patternFill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14D03-FDEC-418F-A908-C57FD634272C}" name="tblDependentes" displayName="tblDependentes" ref="A15:F16" totalsRowShown="0" headerRowDxfId="10" dataDxfId="9">
  <autoFilter ref="A15:F16" xr:uid="{FA514D03-FDEC-418F-A908-C57FD634272C}"/>
  <tableColumns count="6">
    <tableColumn id="1" xr3:uid="{4DD7D56E-3CD9-4EEF-827A-A849DA00E8FB}" name="Nome" dataDxfId="16"/>
    <tableColumn id="2" xr3:uid="{4CCC2340-18E7-453B-A5B4-1437F30CC842}" name="CPF" dataDxfId="15"/>
    <tableColumn id="3" xr3:uid="{0A1AB47C-1039-4E7A-9AA6-969DCA0EEC57}" name="Nascimento" dataDxfId="14"/>
    <tableColumn id="4" xr3:uid="{5085E4FC-6944-4D51-B380-3855F0CD61F7}" name="Parentesco" dataDxfId="13"/>
    <tableColumn id="5" xr3:uid="{2C87F847-6F09-44BD-A604-B1AD5B25154E}" name="Dependente em outra declaração?" dataDxfId="12"/>
    <tableColumn id="6" xr3:uid="{7B93C4DF-AB87-4D1F-96CE-6D47FEA681E8}" name="Documento conferido?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49042-4B60-4E5C-BE5C-29CA927D9B0C}" name="tblRendimentos" displayName="tblRendimentos" ref="A4:J5" totalsRowShown="0" headerRowDxfId="55" dataDxfId="54">
  <autoFilter ref="A4:J5" xr:uid="{77749042-4B60-4E5C-BE5C-29CA927D9B0C}"/>
  <tableColumns count="10">
    <tableColumn id="1" xr3:uid="{059C631D-5C98-47BE-8581-346B2BF3630E}" name="Incluir" dataDxfId="63"/>
    <tableColumn id="2" xr3:uid="{63A36C5D-0B1F-489B-8531-3A5A2CA2A77C}" name="Categoria" dataDxfId="62"/>
    <tableColumn id="3" xr3:uid="{B784EBB1-2B54-4B7A-9EA6-6EA699B5FC47}" name="Fonte pagadora" dataDxfId="61"/>
    <tableColumn id="4" xr3:uid="{58FD5241-29D1-402B-B87A-91056EFFA8CC}" name="CPF/CNPJ" dataDxfId="60"/>
    <tableColumn id="5" xr3:uid="{7263410D-7B63-414F-A309-D804EBB7787E}" name="Descrição" dataDxfId="59"/>
    <tableColumn id="6" xr3:uid="{3901FF91-F74F-45C6-A8A4-747F1932C32F}" name="Valor" dataDxfId="28"/>
    <tableColumn id="7" xr3:uid="{4F8A32C0-4174-422C-96C1-53E4E7CFCD8F}" name="IR retido" dataDxfId="27"/>
    <tableColumn id="8" xr3:uid="{74BC80F8-D587-470A-9F2A-75A2A0B3A2C3}" name="Documento" dataDxfId="58"/>
    <tableColumn id="9" xr3:uid="{6F898180-70E2-45BE-B7DB-CA117895B52E}" name="Status" dataDxfId="57"/>
    <tableColumn id="10" xr3:uid="{051061CB-48C1-48E3-B786-48859F0E6B90}" name="Observações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D8840-5518-4F5D-811C-9F5D08D80937}" name="tblDeducoes" displayName="tblDeducoes" ref="A4:J5" totalsRowShown="0" headerRowDxfId="46" dataDxfId="45">
  <autoFilter ref="A4:J5" xr:uid="{67FD8840-5518-4F5D-811C-9F5D08D80937}"/>
  <tableColumns count="10">
    <tableColumn id="1" xr3:uid="{996A362B-75F9-45AC-8729-ECC53B07FB77}" name="Incluir" dataDxfId="53"/>
    <tableColumn id="2" xr3:uid="{8CB89375-6271-4CBD-A759-AF47DFB8BB34}" name="Categoria" dataDxfId="52"/>
    <tableColumn id="3" xr3:uid="{78471778-AC9B-476B-96C1-440BE9A060EA}" name="Beneficiário" dataDxfId="51"/>
    <tableColumn id="4" xr3:uid="{43F5B624-A482-410E-8F13-0AC740A41F4E}" name="CPF/CNPJ" dataDxfId="50"/>
    <tableColumn id="5" xr3:uid="{32B5DA3A-790F-48E6-BD02-4171979D87EA}" name="Descrição" dataDxfId="49"/>
    <tableColumn id="6" xr3:uid="{BE36E642-086A-4F5A-97FD-669836F42421}" name="Valor pago" dataDxfId="26"/>
    <tableColumn id="7" xr3:uid="{53AE9AA6-DCFF-4778-A88D-27A1185E4337}" name="Reembolso" dataDxfId="25"/>
    <tableColumn id="8" xr3:uid="{DA14251A-83C8-405E-B6CA-87CE2745CA32}" name="Valor líquido" dataDxfId="24">
      <calculatedColumnFormula>F5-G5</calculatedColumnFormula>
    </tableColumn>
    <tableColumn id="9" xr3:uid="{9ED02EEF-A8AB-46E9-A017-6D99B55128F0}" name="Status" dataDxfId="48"/>
    <tableColumn id="10" xr3:uid="{F238ED10-381B-4E43-8030-D255A27E0BD4}" name="Observações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350E2A-0968-48AF-9583-F851305ECA0E}" name="tblBens" displayName="tblBens" ref="A4:K5" totalsRowShown="0" headerRowDxfId="37" dataDxfId="36">
  <autoFilter ref="A4:K5" xr:uid="{D4350E2A-0968-48AF-9583-F851305ECA0E}"/>
  <tableColumns count="11">
    <tableColumn id="1" xr3:uid="{B731B5D2-6927-4365-8D9A-34F1A6C01E5C}" name="Incluir" dataDxfId="44"/>
    <tableColumn id="2" xr3:uid="{49B03042-01C1-4940-BAE8-56FD453D58A0}" name="Grupo" dataDxfId="43"/>
    <tableColumn id="3" xr3:uid="{C620D1B9-C533-4E9B-A4CF-B4C462985518}" name="Descrição do bem" dataDxfId="42"/>
    <tableColumn id="4" xr3:uid="{AF80DB35-3177-42C3-8D9D-5697D43AA65D}" name="Titular" dataDxfId="41"/>
    <tableColumn id="5" xr3:uid="{1FE9C00D-241F-4B7B-AC40-A4D818D86DA8}" name="País" dataDxfId="40"/>
    <tableColumn id="6" xr3:uid="{83348995-858B-47E0-B037-11C3D10F1B0F}" name="Situação inicial" dataDxfId="23"/>
    <tableColumn id="7" xr3:uid="{D5C6460B-1BAE-4653-9B5E-9D6F9F589169}" name="Aquisições" dataDxfId="22"/>
    <tableColumn id="8" xr3:uid="{833686A4-E602-4514-988E-92470F1E2152}" name="Baixas" dataDxfId="21"/>
    <tableColumn id="9" xr3:uid="{D239B8A0-D45D-402D-AF83-1A51A79D6553}" name="Situação final" dataDxfId="20">
      <calculatedColumnFormula>F5+G5-H5</calculatedColumnFormula>
    </tableColumn>
    <tableColumn id="10" xr3:uid="{04581CCF-931E-477A-AE9A-695AF51934EB}" name="Status" dataDxfId="39"/>
    <tableColumn id="11" xr3:uid="{519AE2EA-8281-43D1-8B02-F3AAE5677D1F}" name="Observações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03DB57-641F-4721-924B-ADB662F73E0B}" name="tblDividas" displayName="tblDividas" ref="A4:H5" totalsRowShown="0" headerRowDxfId="30" dataDxfId="29">
  <autoFilter ref="A4:H5" xr:uid="{B603DB57-641F-4721-924B-ADB662F73E0B}"/>
  <tableColumns count="8">
    <tableColumn id="1" xr3:uid="{D57EE996-E212-4865-996A-AFDEA9D29334}" name="Incluir" dataDxfId="35"/>
    <tableColumn id="2" xr3:uid="{436DC121-456F-4583-A539-DD1DE4CA490E}" name="Credor" dataDxfId="34"/>
    <tableColumn id="3" xr3:uid="{DC9F355C-C116-48FF-9FB4-5E9510EFE8FB}" name="CPF/CNPJ" dataDxfId="33"/>
    <tableColumn id="4" xr3:uid="{C909AB6B-3BD1-434D-A951-C63D345A981E}" name="Natureza" dataDxfId="32"/>
    <tableColumn id="5" xr3:uid="{65F0F1FF-3826-4057-8426-E0CF7D933356}" name="Saldo inicial" dataDxfId="19"/>
    <tableColumn id="6" xr3:uid="{3C4C6E52-6D0D-48ED-80B7-BF9AE0E6BE4F}" name="Pagamentos" dataDxfId="18"/>
    <tableColumn id="7" xr3:uid="{60D7366B-8367-4D00-9CE8-DB9A559B19B1}" name="Saldo final" dataDxfId="17"/>
    <tableColumn id="8" xr3:uid="{4FAE2552-8954-4553-BC67-5AD6F21B46D7}" name="Status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94F2-AC75-432F-AB53-0E92726C68BE}">
  <dimension ref="A1:H23"/>
  <sheetViews>
    <sheetView showGridLines="0" tabSelected="1" workbookViewId="0">
      <selection activeCell="K8" sqref="K8"/>
    </sheetView>
  </sheetViews>
  <sheetFormatPr defaultRowHeight="15" x14ac:dyDescent="0.25"/>
  <cols>
    <col min="1" max="2" width="15.5703125" customWidth="1"/>
    <col min="3" max="4" width="3.42578125" customWidth="1"/>
    <col min="5" max="6" width="15.5703125" customWidth="1"/>
    <col min="7" max="8" width="3.42578125" customWidth="1"/>
  </cols>
  <sheetData>
    <row r="1" spans="1:8" s="6" customFormat="1" ht="33.950000000000003" customHeight="1" x14ac:dyDescent="0.25">
      <c r="A1" s="4" t="s">
        <v>0</v>
      </c>
      <c r="B1" s="5"/>
      <c r="C1" s="5"/>
      <c r="D1" s="5"/>
      <c r="E1" s="5"/>
      <c r="F1" s="5"/>
      <c r="G1" s="5"/>
      <c r="H1" s="5"/>
    </row>
    <row r="2" spans="1:8" ht="24" customHeight="1" x14ac:dyDescent="0.25">
      <c r="A2" s="7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ht="24" customHeight="1" x14ac:dyDescent="0.25">
      <c r="A4" s="9" t="s">
        <v>2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ht="15.75" x14ac:dyDescent="0.25">
      <c r="A6" s="35" t="s">
        <v>3</v>
      </c>
      <c r="B6" s="35"/>
      <c r="C6" s="3"/>
      <c r="D6" s="3"/>
      <c r="E6" s="35" t="s">
        <v>5</v>
      </c>
      <c r="F6" s="35"/>
      <c r="G6" s="3"/>
      <c r="H6" s="3"/>
    </row>
    <row r="7" spans="1:8" ht="30" customHeight="1" x14ac:dyDescent="0.25">
      <c r="A7" s="33" t="s">
        <v>4</v>
      </c>
      <c r="B7" s="33"/>
      <c r="C7" s="3"/>
      <c r="D7" s="3"/>
      <c r="E7" s="33" t="s">
        <v>6</v>
      </c>
      <c r="F7" s="3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ht="15.75" x14ac:dyDescent="0.25">
      <c r="A9" s="35" t="s">
        <v>7</v>
      </c>
      <c r="B9" s="35"/>
      <c r="C9" s="3"/>
      <c r="D9" s="3"/>
      <c r="E9" s="35" t="s">
        <v>9</v>
      </c>
      <c r="F9" s="35"/>
      <c r="G9" s="3"/>
      <c r="H9" s="3"/>
    </row>
    <row r="10" spans="1:8" ht="30" customHeight="1" x14ac:dyDescent="0.25">
      <c r="A10" s="34" t="s">
        <v>8</v>
      </c>
      <c r="B10" s="34"/>
      <c r="C10" s="3"/>
      <c r="D10" s="3"/>
      <c r="E10" s="34" t="s">
        <v>10</v>
      </c>
      <c r="F10" s="34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ht="15.75" x14ac:dyDescent="0.25">
      <c r="A12" s="36" t="s">
        <v>11</v>
      </c>
      <c r="B12" s="36"/>
      <c r="C12" s="3"/>
      <c r="D12" s="3"/>
      <c r="E12" s="36" t="s">
        <v>13</v>
      </c>
      <c r="F12" s="36"/>
      <c r="G12" s="3"/>
      <c r="H12" s="3"/>
    </row>
    <row r="13" spans="1:8" ht="30" customHeight="1" x14ac:dyDescent="0.25">
      <c r="A13" s="34" t="s">
        <v>12</v>
      </c>
      <c r="B13" s="34"/>
      <c r="C13" s="3"/>
      <c r="D13" s="3"/>
      <c r="E13" s="34" t="s">
        <v>14</v>
      </c>
      <c r="F13" s="34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ht="15.75" x14ac:dyDescent="0.25">
      <c r="A15" s="36" t="s">
        <v>15</v>
      </c>
      <c r="B15" s="36"/>
      <c r="C15" s="3"/>
      <c r="D15" s="3"/>
      <c r="E15" s="3"/>
      <c r="F15" s="3"/>
      <c r="G15" s="3"/>
      <c r="H15" s="3"/>
    </row>
    <row r="16" spans="1:8" ht="30" customHeight="1" x14ac:dyDescent="0.25">
      <c r="A16" s="34" t="s">
        <v>16</v>
      </c>
      <c r="B16" s="34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ht="24" customHeight="1" x14ac:dyDescent="0.25">
      <c r="A18" s="9" t="s">
        <v>17</v>
      </c>
      <c r="B18" s="9"/>
      <c r="C18" s="9"/>
      <c r="D18" s="9"/>
      <c r="E18" s="9"/>
      <c r="F18" s="9"/>
      <c r="G18" s="9"/>
      <c r="H18" s="9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11" t="s">
        <v>18</v>
      </c>
      <c r="B20" s="10"/>
      <c r="C20" s="10"/>
      <c r="D20" s="10"/>
      <c r="E20" s="10"/>
      <c r="F20" s="10"/>
      <c r="G20" s="10"/>
      <c r="H20" s="10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ht="24" customHeight="1" x14ac:dyDescent="0.25">
      <c r="A22" s="12" t="s">
        <v>19</v>
      </c>
      <c r="B22" s="12"/>
      <c r="C22" s="12"/>
      <c r="D22" s="12"/>
      <c r="E22" s="12"/>
      <c r="F22" s="12"/>
      <c r="G22" s="12"/>
      <c r="H22" s="12"/>
    </row>
    <row r="23" spans="1:8" ht="24" customHeight="1" x14ac:dyDescent="0.25">
      <c r="A23" s="12"/>
      <c r="B23" s="12"/>
      <c r="C23" s="12"/>
      <c r="D23" s="12"/>
      <c r="E23" s="12"/>
      <c r="F23" s="12"/>
      <c r="G23" s="12"/>
      <c r="H23" s="12"/>
    </row>
  </sheetData>
  <mergeCells count="20">
    <mergeCell ref="A15:B15"/>
    <mergeCell ref="A16:B16"/>
    <mergeCell ref="A18:H18"/>
    <mergeCell ref="A20:H20"/>
    <mergeCell ref="A22:H23"/>
    <mergeCell ref="A9:B9"/>
    <mergeCell ref="A10:B10"/>
    <mergeCell ref="E9:F9"/>
    <mergeCell ref="E10:F10"/>
    <mergeCell ref="A12:B12"/>
    <mergeCell ref="A13:B13"/>
    <mergeCell ref="E12:F12"/>
    <mergeCell ref="E13:F13"/>
    <mergeCell ref="A1:H1"/>
    <mergeCell ref="A2:H2"/>
    <mergeCell ref="A4:H4"/>
    <mergeCell ref="A6:B6"/>
    <mergeCell ref="A7:B7"/>
    <mergeCell ref="E6:F6"/>
    <mergeCell ref="E7:F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D973-96AC-402F-A436-D0A05A4F3314}">
  <dimension ref="A1:F200"/>
  <sheetViews>
    <sheetView showGridLines="0" workbookViewId="0">
      <selection activeCell="B6" sqref="B6"/>
    </sheetView>
  </sheetViews>
  <sheetFormatPr defaultRowHeight="15" x14ac:dyDescent="0.25"/>
  <cols>
    <col min="1" max="1" width="34.28515625" customWidth="1"/>
    <col min="2" max="6" width="20" customWidth="1"/>
  </cols>
  <sheetData>
    <row r="1" spans="1:6" s="6" customFormat="1" ht="33.950000000000003" customHeight="1" x14ac:dyDescent="0.25">
      <c r="A1" s="4" t="s">
        <v>20</v>
      </c>
      <c r="B1" s="5"/>
      <c r="C1" s="5"/>
      <c r="D1" s="5"/>
      <c r="E1" s="5"/>
      <c r="F1" s="5"/>
    </row>
    <row r="2" spans="1:6" ht="24" customHeight="1" x14ac:dyDescent="0.25">
      <c r="A2" s="7" t="s">
        <v>21</v>
      </c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13" t="s">
        <v>22</v>
      </c>
      <c r="B4" s="13" t="s">
        <v>23</v>
      </c>
      <c r="C4" s="3"/>
      <c r="D4" s="3"/>
      <c r="E4" s="3"/>
      <c r="F4" s="3"/>
    </row>
    <row r="5" spans="1:6" x14ac:dyDescent="0.25">
      <c r="A5" s="14" t="s">
        <v>24</v>
      </c>
      <c r="B5" s="15" t="s">
        <v>25</v>
      </c>
      <c r="C5" s="3"/>
      <c r="D5" s="3"/>
      <c r="E5" s="3"/>
      <c r="F5" s="3"/>
    </row>
    <row r="6" spans="1:6" x14ac:dyDescent="0.25">
      <c r="A6" s="14" t="s">
        <v>26</v>
      </c>
      <c r="B6" s="16"/>
      <c r="C6" s="3"/>
      <c r="D6" s="3"/>
      <c r="E6" s="3"/>
      <c r="F6" s="3"/>
    </row>
    <row r="7" spans="1:6" x14ac:dyDescent="0.25">
      <c r="A7" s="14" t="s">
        <v>27</v>
      </c>
      <c r="B7" s="17"/>
      <c r="C7" s="3"/>
      <c r="D7" s="3"/>
      <c r="E7" s="3"/>
      <c r="F7" s="3"/>
    </row>
    <row r="8" spans="1:6" x14ac:dyDescent="0.25">
      <c r="A8" s="14" t="s">
        <v>28</v>
      </c>
      <c r="B8" s="15">
        <v>2025</v>
      </c>
      <c r="C8" s="3"/>
      <c r="D8" s="3"/>
      <c r="E8" s="3"/>
      <c r="F8" s="3"/>
    </row>
    <row r="9" spans="1:6" x14ac:dyDescent="0.25">
      <c r="A9" s="14" t="s">
        <v>29</v>
      </c>
      <c r="B9" s="15" t="s">
        <v>30</v>
      </c>
      <c r="C9" s="3"/>
      <c r="D9" s="3"/>
      <c r="E9" s="3"/>
      <c r="F9" s="3"/>
    </row>
    <row r="10" spans="1:6" x14ac:dyDescent="0.25">
      <c r="A10" s="14" t="s">
        <v>31</v>
      </c>
      <c r="B10" s="15"/>
      <c r="C10" s="3"/>
      <c r="D10" s="3"/>
      <c r="E10" s="3"/>
      <c r="F10" s="3"/>
    </row>
    <row r="11" spans="1:6" x14ac:dyDescent="0.25">
      <c r="A11" s="14" t="s">
        <v>32</v>
      </c>
      <c r="B11" s="15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9" t="s">
        <v>33</v>
      </c>
      <c r="B13" s="9"/>
      <c r="C13" s="9"/>
      <c r="D13" s="9"/>
      <c r="E13" s="9"/>
      <c r="F13" s="9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 t="s">
        <v>34</v>
      </c>
      <c r="B15" s="3" t="s">
        <v>26</v>
      </c>
      <c r="C15" s="3" t="s">
        <v>35</v>
      </c>
      <c r="D15" s="3" t="s">
        <v>36</v>
      </c>
      <c r="E15" s="3" t="s">
        <v>37</v>
      </c>
      <c r="F15" s="3" t="s">
        <v>38</v>
      </c>
    </row>
    <row r="16" spans="1:6" x14ac:dyDescent="0.25">
      <c r="A16" s="3" t="s">
        <v>39</v>
      </c>
      <c r="B16" s="3" t="s">
        <v>40</v>
      </c>
      <c r="C16" s="8" t="s">
        <v>41</v>
      </c>
      <c r="D16" s="3" t="s">
        <v>42</v>
      </c>
      <c r="E16" s="3" t="s">
        <v>43</v>
      </c>
      <c r="F16" s="3" t="s">
        <v>43</v>
      </c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</sheetData>
  <mergeCells count="3">
    <mergeCell ref="A1:F1"/>
    <mergeCell ref="A2:F2"/>
    <mergeCell ref="A13:F13"/>
  </mergeCells>
  <dataValidations count="2">
    <dataValidation type="list" allowBlank="1" showInputMessage="1" showErrorMessage="1" sqref="D16:D200" xr:uid="{4C933FA8-C251-45CE-BA2C-70F52655D0F9}">
      <formula1>"Cônjuge,Filho(a),Pai/Mãe,Outro"</formula1>
    </dataValidation>
    <dataValidation type="list" allowBlank="1" showInputMessage="1" showErrorMessage="1" sqref="E16:F200" xr:uid="{E8A5259A-E53B-4159-AE68-DD4FF8908F1B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22E7-4C81-47E7-AC56-2B63C4D8FE20}">
  <dimension ref="A1:J500"/>
  <sheetViews>
    <sheetView showGridLines="0" workbookViewId="0">
      <selection sqref="A1:J1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24.7109375" customWidth="1"/>
    <col min="4" max="4" width="17.5703125" bestFit="1" customWidth="1"/>
    <col min="5" max="5" width="29.5703125" customWidth="1"/>
    <col min="6" max="6" width="11.85546875" bestFit="1" customWidth="1"/>
    <col min="7" max="7" width="10.42578125" bestFit="1" customWidth="1"/>
    <col min="8" max="10" width="22.85546875" customWidth="1"/>
  </cols>
  <sheetData>
    <row r="1" spans="1:10" s="6" customFormat="1" ht="33.950000000000003" customHeight="1" x14ac:dyDescent="0.25">
      <c r="A1" s="4" t="s">
        <v>44</v>
      </c>
      <c r="B1" s="5"/>
      <c r="C1" s="5"/>
      <c r="D1" s="5"/>
      <c r="E1" s="5"/>
      <c r="F1" s="5"/>
      <c r="G1" s="5"/>
      <c r="H1" s="5"/>
      <c r="I1" s="5"/>
      <c r="J1" s="5"/>
    </row>
    <row r="2" spans="1:10" s="20" customFormat="1" ht="24" customHeight="1" x14ac:dyDescent="0.25">
      <c r="A2" s="18" t="s">
        <v>45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7.95" customHeight="1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</row>
    <row r="5" spans="1:10" x14ac:dyDescent="0.25">
      <c r="A5" s="3" t="s">
        <v>43</v>
      </c>
      <c r="B5" s="3" t="s">
        <v>56</v>
      </c>
      <c r="C5" s="3" t="s">
        <v>57</v>
      </c>
      <c r="D5" s="3" t="s">
        <v>58</v>
      </c>
      <c r="E5" s="3" t="s">
        <v>59</v>
      </c>
      <c r="F5" s="29">
        <v>1000</v>
      </c>
      <c r="G5" s="29">
        <v>0</v>
      </c>
      <c r="H5" s="3" t="s">
        <v>60</v>
      </c>
      <c r="I5" s="3" t="s">
        <v>61</v>
      </c>
      <c r="J5" s="3" t="s">
        <v>62</v>
      </c>
    </row>
    <row r="6" spans="1:10" x14ac:dyDescent="0.25">
      <c r="F6" s="30"/>
      <c r="G6" s="30"/>
    </row>
    <row r="7" spans="1:10" x14ac:dyDescent="0.25">
      <c r="F7" s="30"/>
      <c r="G7" s="30"/>
    </row>
    <row r="8" spans="1:10" x14ac:dyDescent="0.25">
      <c r="F8" s="30"/>
      <c r="G8" s="30"/>
    </row>
    <row r="9" spans="1:10" x14ac:dyDescent="0.25">
      <c r="F9" s="30"/>
      <c r="G9" s="30"/>
    </row>
    <row r="10" spans="1:10" x14ac:dyDescent="0.25">
      <c r="F10" s="30"/>
      <c r="G10" s="30"/>
    </row>
    <row r="11" spans="1:10" x14ac:dyDescent="0.25">
      <c r="F11" s="30"/>
      <c r="G11" s="30"/>
    </row>
    <row r="12" spans="1:10" x14ac:dyDescent="0.25">
      <c r="F12" s="30"/>
      <c r="G12" s="30"/>
    </row>
    <row r="13" spans="1:10" x14ac:dyDescent="0.25">
      <c r="F13" s="30"/>
      <c r="G13" s="30"/>
    </row>
    <row r="14" spans="1:10" x14ac:dyDescent="0.25">
      <c r="F14" s="30"/>
      <c r="G14" s="30"/>
    </row>
    <row r="15" spans="1:10" x14ac:dyDescent="0.25">
      <c r="F15" s="30"/>
      <c r="G15" s="30"/>
    </row>
    <row r="16" spans="1:10" x14ac:dyDescent="0.25">
      <c r="F16" s="30"/>
      <c r="G16" s="30"/>
    </row>
    <row r="17" spans="6:7" x14ac:dyDescent="0.25">
      <c r="F17" s="30"/>
      <c r="G17" s="30"/>
    </row>
    <row r="18" spans="6:7" x14ac:dyDescent="0.25">
      <c r="F18" s="30"/>
      <c r="G18" s="30"/>
    </row>
    <row r="19" spans="6:7" x14ac:dyDescent="0.25">
      <c r="F19" s="30"/>
      <c r="G19" s="30"/>
    </row>
    <row r="20" spans="6:7" x14ac:dyDescent="0.25">
      <c r="F20" s="30"/>
      <c r="G20" s="30"/>
    </row>
    <row r="21" spans="6:7" x14ac:dyDescent="0.25">
      <c r="F21" s="30"/>
      <c r="G21" s="30"/>
    </row>
    <row r="22" spans="6:7" x14ac:dyDescent="0.25">
      <c r="F22" s="30"/>
      <c r="G22" s="30"/>
    </row>
    <row r="23" spans="6:7" x14ac:dyDescent="0.25">
      <c r="F23" s="30"/>
      <c r="G23" s="30"/>
    </row>
    <row r="24" spans="6:7" x14ac:dyDescent="0.25">
      <c r="F24" s="30"/>
      <c r="G24" s="30"/>
    </row>
    <row r="25" spans="6:7" x14ac:dyDescent="0.25">
      <c r="F25" s="30"/>
      <c r="G25" s="30"/>
    </row>
    <row r="26" spans="6:7" x14ac:dyDescent="0.25">
      <c r="F26" s="30"/>
      <c r="G26" s="30"/>
    </row>
    <row r="27" spans="6:7" x14ac:dyDescent="0.25">
      <c r="F27" s="30"/>
      <c r="G27" s="30"/>
    </row>
    <row r="28" spans="6:7" x14ac:dyDescent="0.25">
      <c r="F28" s="30"/>
      <c r="G28" s="30"/>
    </row>
    <row r="29" spans="6:7" x14ac:dyDescent="0.25">
      <c r="F29" s="30"/>
      <c r="G29" s="30"/>
    </row>
    <row r="30" spans="6:7" x14ac:dyDescent="0.25">
      <c r="F30" s="30"/>
      <c r="G30" s="30"/>
    </row>
    <row r="31" spans="6:7" x14ac:dyDescent="0.25">
      <c r="F31" s="30"/>
      <c r="G31" s="30"/>
    </row>
    <row r="32" spans="6:7" x14ac:dyDescent="0.25">
      <c r="F32" s="30"/>
      <c r="G32" s="30"/>
    </row>
    <row r="33" spans="6:7" x14ac:dyDescent="0.25">
      <c r="F33" s="30"/>
      <c r="G33" s="30"/>
    </row>
    <row r="34" spans="6:7" x14ac:dyDescent="0.25">
      <c r="F34" s="30"/>
      <c r="G34" s="30"/>
    </row>
    <row r="35" spans="6:7" x14ac:dyDescent="0.25">
      <c r="F35" s="30"/>
      <c r="G35" s="30"/>
    </row>
    <row r="36" spans="6:7" x14ac:dyDescent="0.25">
      <c r="F36" s="30"/>
      <c r="G36" s="30"/>
    </row>
    <row r="37" spans="6:7" x14ac:dyDescent="0.25">
      <c r="F37" s="30"/>
      <c r="G37" s="30"/>
    </row>
    <row r="38" spans="6:7" x14ac:dyDescent="0.25">
      <c r="F38" s="30"/>
      <c r="G38" s="30"/>
    </row>
    <row r="39" spans="6:7" x14ac:dyDescent="0.25">
      <c r="F39" s="30"/>
      <c r="G39" s="30"/>
    </row>
    <row r="40" spans="6:7" x14ac:dyDescent="0.25">
      <c r="F40" s="30"/>
      <c r="G40" s="30"/>
    </row>
    <row r="41" spans="6:7" x14ac:dyDescent="0.25">
      <c r="F41" s="30"/>
      <c r="G41" s="30"/>
    </row>
    <row r="42" spans="6:7" x14ac:dyDescent="0.25">
      <c r="F42" s="30"/>
      <c r="G42" s="30"/>
    </row>
    <row r="43" spans="6:7" x14ac:dyDescent="0.25">
      <c r="F43" s="30"/>
      <c r="G43" s="30"/>
    </row>
    <row r="44" spans="6:7" x14ac:dyDescent="0.25">
      <c r="F44" s="30"/>
      <c r="G44" s="30"/>
    </row>
    <row r="45" spans="6:7" x14ac:dyDescent="0.25">
      <c r="F45" s="30"/>
      <c r="G45" s="30"/>
    </row>
    <row r="46" spans="6:7" x14ac:dyDescent="0.25">
      <c r="F46" s="30"/>
      <c r="G46" s="30"/>
    </row>
    <row r="47" spans="6:7" x14ac:dyDescent="0.25">
      <c r="F47" s="30"/>
      <c r="G47" s="30"/>
    </row>
    <row r="48" spans="6:7" x14ac:dyDescent="0.25">
      <c r="F48" s="30"/>
      <c r="G48" s="30"/>
    </row>
    <row r="49" spans="6:7" x14ac:dyDescent="0.25">
      <c r="F49" s="30"/>
      <c r="G49" s="30"/>
    </row>
    <row r="50" spans="6:7" x14ac:dyDescent="0.25">
      <c r="F50" s="30"/>
      <c r="G50" s="30"/>
    </row>
    <row r="51" spans="6:7" x14ac:dyDescent="0.25">
      <c r="F51" s="30"/>
      <c r="G51" s="30"/>
    </row>
    <row r="52" spans="6:7" x14ac:dyDescent="0.25">
      <c r="F52" s="30"/>
      <c r="G52" s="30"/>
    </row>
    <row r="53" spans="6:7" x14ac:dyDescent="0.25">
      <c r="F53" s="30"/>
      <c r="G53" s="30"/>
    </row>
    <row r="54" spans="6:7" x14ac:dyDescent="0.25">
      <c r="F54" s="30"/>
      <c r="G54" s="30"/>
    </row>
    <row r="55" spans="6:7" x14ac:dyDescent="0.25">
      <c r="F55" s="30"/>
      <c r="G55" s="30"/>
    </row>
    <row r="56" spans="6:7" x14ac:dyDescent="0.25">
      <c r="F56" s="30"/>
      <c r="G56" s="30"/>
    </row>
    <row r="57" spans="6:7" x14ac:dyDescent="0.25">
      <c r="F57" s="30"/>
      <c r="G57" s="30"/>
    </row>
    <row r="58" spans="6:7" x14ac:dyDescent="0.25">
      <c r="F58" s="30"/>
      <c r="G58" s="30"/>
    </row>
    <row r="59" spans="6:7" x14ac:dyDescent="0.25">
      <c r="F59" s="30"/>
      <c r="G59" s="30"/>
    </row>
    <row r="60" spans="6:7" x14ac:dyDescent="0.25">
      <c r="F60" s="30"/>
      <c r="G60" s="30"/>
    </row>
    <row r="61" spans="6:7" x14ac:dyDescent="0.25">
      <c r="F61" s="30"/>
      <c r="G61" s="30"/>
    </row>
    <row r="62" spans="6:7" x14ac:dyDescent="0.25">
      <c r="F62" s="30"/>
      <c r="G62" s="30"/>
    </row>
    <row r="63" spans="6:7" x14ac:dyDescent="0.25">
      <c r="F63" s="30"/>
      <c r="G63" s="30"/>
    </row>
    <row r="64" spans="6:7" x14ac:dyDescent="0.25">
      <c r="F64" s="30"/>
      <c r="G64" s="30"/>
    </row>
    <row r="65" spans="6:7" x14ac:dyDescent="0.25">
      <c r="F65" s="30"/>
      <c r="G65" s="30"/>
    </row>
    <row r="66" spans="6:7" x14ac:dyDescent="0.25">
      <c r="F66" s="30"/>
      <c r="G66" s="30"/>
    </row>
    <row r="67" spans="6:7" x14ac:dyDescent="0.25">
      <c r="F67" s="30"/>
      <c r="G67" s="30"/>
    </row>
    <row r="68" spans="6:7" x14ac:dyDescent="0.25">
      <c r="F68" s="30"/>
      <c r="G68" s="30"/>
    </row>
    <row r="69" spans="6:7" x14ac:dyDescent="0.25">
      <c r="F69" s="30"/>
      <c r="G69" s="30"/>
    </row>
    <row r="70" spans="6:7" x14ac:dyDescent="0.25">
      <c r="F70" s="30"/>
      <c r="G70" s="30"/>
    </row>
    <row r="71" spans="6:7" x14ac:dyDescent="0.25">
      <c r="F71" s="30"/>
      <c r="G71" s="30"/>
    </row>
    <row r="72" spans="6:7" x14ac:dyDescent="0.25">
      <c r="F72" s="30"/>
      <c r="G72" s="30"/>
    </row>
    <row r="73" spans="6:7" x14ac:dyDescent="0.25">
      <c r="F73" s="30"/>
      <c r="G73" s="30"/>
    </row>
    <row r="74" spans="6:7" x14ac:dyDescent="0.25">
      <c r="F74" s="30"/>
      <c r="G74" s="30"/>
    </row>
    <row r="75" spans="6:7" x14ac:dyDescent="0.25">
      <c r="F75" s="30"/>
      <c r="G75" s="30"/>
    </row>
    <row r="76" spans="6:7" x14ac:dyDescent="0.25">
      <c r="F76" s="30"/>
      <c r="G76" s="30"/>
    </row>
    <row r="77" spans="6:7" x14ac:dyDescent="0.25">
      <c r="F77" s="30"/>
      <c r="G77" s="30"/>
    </row>
    <row r="78" spans="6:7" x14ac:dyDescent="0.25">
      <c r="F78" s="30"/>
      <c r="G78" s="30"/>
    </row>
    <row r="79" spans="6:7" x14ac:dyDescent="0.25">
      <c r="F79" s="30"/>
      <c r="G79" s="30"/>
    </row>
    <row r="80" spans="6:7" x14ac:dyDescent="0.25">
      <c r="F80" s="30"/>
      <c r="G80" s="30"/>
    </row>
    <row r="81" spans="6:7" x14ac:dyDescent="0.25">
      <c r="F81" s="30"/>
      <c r="G81" s="30"/>
    </row>
    <row r="82" spans="6:7" x14ac:dyDescent="0.25">
      <c r="F82" s="30"/>
      <c r="G82" s="30"/>
    </row>
    <row r="83" spans="6:7" x14ac:dyDescent="0.25">
      <c r="F83" s="30"/>
      <c r="G83" s="30"/>
    </row>
    <row r="84" spans="6:7" x14ac:dyDescent="0.25">
      <c r="F84" s="30"/>
      <c r="G84" s="30"/>
    </row>
    <row r="85" spans="6:7" x14ac:dyDescent="0.25">
      <c r="F85" s="30"/>
      <c r="G85" s="30"/>
    </row>
    <row r="86" spans="6:7" x14ac:dyDescent="0.25">
      <c r="F86" s="30"/>
      <c r="G86" s="30"/>
    </row>
    <row r="87" spans="6:7" x14ac:dyDescent="0.25">
      <c r="F87" s="30"/>
      <c r="G87" s="30"/>
    </row>
    <row r="88" spans="6:7" x14ac:dyDescent="0.25">
      <c r="F88" s="30"/>
      <c r="G88" s="30"/>
    </row>
    <row r="89" spans="6:7" x14ac:dyDescent="0.25">
      <c r="F89" s="30"/>
      <c r="G89" s="30"/>
    </row>
    <row r="90" spans="6:7" x14ac:dyDescent="0.25">
      <c r="F90" s="30"/>
      <c r="G90" s="30"/>
    </row>
    <row r="91" spans="6:7" x14ac:dyDescent="0.25">
      <c r="F91" s="30"/>
      <c r="G91" s="30"/>
    </row>
    <row r="92" spans="6:7" x14ac:dyDescent="0.25">
      <c r="F92" s="30"/>
      <c r="G92" s="30"/>
    </row>
    <row r="93" spans="6:7" x14ac:dyDescent="0.25">
      <c r="F93" s="30"/>
      <c r="G93" s="30"/>
    </row>
    <row r="94" spans="6:7" x14ac:dyDescent="0.25">
      <c r="F94" s="30"/>
      <c r="G94" s="30"/>
    </row>
    <row r="95" spans="6:7" x14ac:dyDescent="0.25">
      <c r="F95" s="30"/>
      <c r="G95" s="30"/>
    </row>
    <row r="96" spans="6:7" x14ac:dyDescent="0.25">
      <c r="F96" s="30"/>
      <c r="G96" s="30"/>
    </row>
    <row r="97" spans="6:7" x14ac:dyDescent="0.25">
      <c r="F97" s="30"/>
      <c r="G97" s="30"/>
    </row>
    <row r="98" spans="6:7" x14ac:dyDescent="0.25">
      <c r="F98" s="30"/>
      <c r="G98" s="30"/>
    </row>
    <row r="99" spans="6:7" x14ac:dyDescent="0.25">
      <c r="F99" s="30"/>
      <c r="G99" s="30"/>
    </row>
    <row r="100" spans="6:7" x14ac:dyDescent="0.25">
      <c r="F100" s="30"/>
      <c r="G100" s="30"/>
    </row>
    <row r="101" spans="6:7" x14ac:dyDescent="0.25">
      <c r="F101" s="30"/>
      <c r="G101" s="30"/>
    </row>
    <row r="102" spans="6:7" x14ac:dyDescent="0.25">
      <c r="F102" s="30"/>
      <c r="G102" s="30"/>
    </row>
    <row r="103" spans="6:7" x14ac:dyDescent="0.25">
      <c r="F103" s="30"/>
      <c r="G103" s="30"/>
    </row>
    <row r="104" spans="6:7" x14ac:dyDescent="0.25">
      <c r="F104" s="30"/>
      <c r="G104" s="30"/>
    </row>
    <row r="105" spans="6:7" x14ac:dyDescent="0.25">
      <c r="F105" s="30"/>
      <c r="G105" s="30"/>
    </row>
    <row r="106" spans="6:7" x14ac:dyDescent="0.25">
      <c r="F106" s="30"/>
      <c r="G106" s="30"/>
    </row>
    <row r="107" spans="6:7" x14ac:dyDescent="0.25">
      <c r="F107" s="30"/>
      <c r="G107" s="30"/>
    </row>
    <row r="108" spans="6:7" x14ac:dyDescent="0.25">
      <c r="F108" s="30"/>
      <c r="G108" s="30"/>
    </row>
    <row r="109" spans="6:7" x14ac:dyDescent="0.25">
      <c r="F109" s="30"/>
      <c r="G109" s="30"/>
    </row>
    <row r="110" spans="6:7" x14ac:dyDescent="0.25">
      <c r="F110" s="30"/>
      <c r="G110" s="30"/>
    </row>
    <row r="111" spans="6:7" x14ac:dyDescent="0.25">
      <c r="F111" s="30"/>
      <c r="G111" s="30"/>
    </row>
    <row r="112" spans="6:7" x14ac:dyDescent="0.25">
      <c r="F112" s="30"/>
      <c r="G112" s="30"/>
    </row>
    <row r="113" spans="6:7" x14ac:dyDescent="0.25">
      <c r="F113" s="30"/>
      <c r="G113" s="30"/>
    </row>
    <row r="114" spans="6:7" x14ac:dyDescent="0.25">
      <c r="F114" s="30"/>
      <c r="G114" s="30"/>
    </row>
    <row r="115" spans="6:7" x14ac:dyDescent="0.25">
      <c r="F115" s="30"/>
      <c r="G115" s="30"/>
    </row>
    <row r="116" spans="6:7" x14ac:dyDescent="0.25">
      <c r="F116" s="30"/>
      <c r="G116" s="30"/>
    </row>
    <row r="117" spans="6:7" x14ac:dyDescent="0.25">
      <c r="F117" s="30"/>
      <c r="G117" s="30"/>
    </row>
    <row r="118" spans="6:7" x14ac:dyDescent="0.25">
      <c r="F118" s="30"/>
      <c r="G118" s="30"/>
    </row>
    <row r="119" spans="6:7" x14ac:dyDescent="0.25">
      <c r="F119" s="30"/>
      <c r="G119" s="30"/>
    </row>
    <row r="120" spans="6:7" x14ac:dyDescent="0.25">
      <c r="F120" s="30"/>
      <c r="G120" s="30"/>
    </row>
    <row r="121" spans="6:7" x14ac:dyDescent="0.25">
      <c r="F121" s="30"/>
      <c r="G121" s="30"/>
    </row>
    <row r="122" spans="6:7" x14ac:dyDescent="0.25">
      <c r="F122" s="30"/>
      <c r="G122" s="30"/>
    </row>
    <row r="123" spans="6:7" x14ac:dyDescent="0.25">
      <c r="F123" s="30"/>
      <c r="G123" s="30"/>
    </row>
    <row r="124" spans="6:7" x14ac:dyDescent="0.25">
      <c r="F124" s="30"/>
      <c r="G124" s="30"/>
    </row>
    <row r="125" spans="6:7" x14ac:dyDescent="0.25">
      <c r="F125" s="30"/>
      <c r="G125" s="30"/>
    </row>
    <row r="126" spans="6:7" x14ac:dyDescent="0.25">
      <c r="F126" s="30"/>
      <c r="G126" s="30"/>
    </row>
    <row r="127" spans="6:7" x14ac:dyDescent="0.25">
      <c r="F127" s="30"/>
      <c r="G127" s="30"/>
    </row>
    <row r="128" spans="6:7" x14ac:dyDescent="0.25">
      <c r="F128" s="30"/>
      <c r="G128" s="30"/>
    </row>
    <row r="129" spans="6:7" x14ac:dyDescent="0.25">
      <c r="F129" s="30"/>
      <c r="G129" s="30"/>
    </row>
    <row r="130" spans="6:7" x14ac:dyDescent="0.25">
      <c r="F130" s="30"/>
      <c r="G130" s="30"/>
    </row>
    <row r="131" spans="6:7" x14ac:dyDescent="0.25">
      <c r="F131" s="30"/>
      <c r="G131" s="30"/>
    </row>
    <row r="132" spans="6:7" x14ac:dyDescent="0.25">
      <c r="F132" s="30"/>
      <c r="G132" s="30"/>
    </row>
    <row r="133" spans="6:7" x14ac:dyDescent="0.25">
      <c r="F133" s="30"/>
      <c r="G133" s="30"/>
    </row>
    <row r="134" spans="6:7" x14ac:dyDescent="0.25">
      <c r="F134" s="30"/>
      <c r="G134" s="30"/>
    </row>
    <row r="135" spans="6:7" x14ac:dyDescent="0.25">
      <c r="F135" s="30"/>
      <c r="G135" s="30"/>
    </row>
    <row r="136" spans="6:7" x14ac:dyDescent="0.25">
      <c r="F136" s="30"/>
      <c r="G136" s="30"/>
    </row>
    <row r="137" spans="6:7" x14ac:dyDescent="0.25">
      <c r="F137" s="30"/>
      <c r="G137" s="30"/>
    </row>
    <row r="138" spans="6:7" x14ac:dyDescent="0.25">
      <c r="F138" s="30"/>
      <c r="G138" s="30"/>
    </row>
    <row r="139" spans="6:7" x14ac:dyDescent="0.25">
      <c r="F139" s="30"/>
      <c r="G139" s="30"/>
    </row>
    <row r="140" spans="6:7" x14ac:dyDescent="0.25">
      <c r="F140" s="30"/>
      <c r="G140" s="30"/>
    </row>
    <row r="141" spans="6:7" x14ac:dyDescent="0.25">
      <c r="F141" s="30"/>
      <c r="G141" s="30"/>
    </row>
    <row r="142" spans="6:7" x14ac:dyDescent="0.25">
      <c r="F142" s="30"/>
      <c r="G142" s="30"/>
    </row>
    <row r="143" spans="6:7" x14ac:dyDescent="0.25">
      <c r="F143" s="30"/>
      <c r="G143" s="30"/>
    </row>
    <row r="144" spans="6:7" x14ac:dyDescent="0.25">
      <c r="F144" s="30"/>
      <c r="G144" s="30"/>
    </row>
    <row r="145" spans="6:7" x14ac:dyDescent="0.25">
      <c r="F145" s="30"/>
      <c r="G145" s="30"/>
    </row>
    <row r="146" spans="6:7" x14ac:dyDescent="0.25">
      <c r="F146" s="30"/>
      <c r="G146" s="30"/>
    </row>
    <row r="147" spans="6:7" x14ac:dyDescent="0.25">
      <c r="F147" s="30"/>
      <c r="G147" s="30"/>
    </row>
    <row r="148" spans="6:7" x14ac:dyDescent="0.25">
      <c r="F148" s="30"/>
      <c r="G148" s="30"/>
    </row>
    <row r="149" spans="6:7" x14ac:dyDescent="0.25">
      <c r="F149" s="30"/>
      <c r="G149" s="30"/>
    </row>
    <row r="150" spans="6:7" x14ac:dyDescent="0.25">
      <c r="F150" s="30"/>
      <c r="G150" s="30"/>
    </row>
    <row r="151" spans="6:7" x14ac:dyDescent="0.25">
      <c r="F151" s="30"/>
      <c r="G151" s="30"/>
    </row>
    <row r="152" spans="6:7" x14ac:dyDescent="0.25">
      <c r="F152" s="30"/>
      <c r="G152" s="30"/>
    </row>
    <row r="153" spans="6:7" x14ac:dyDescent="0.25">
      <c r="F153" s="30"/>
      <c r="G153" s="30"/>
    </row>
    <row r="154" spans="6:7" x14ac:dyDescent="0.25">
      <c r="F154" s="30"/>
      <c r="G154" s="30"/>
    </row>
    <row r="155" spans="6:7" x14ac:dyDescent="0.25">
      <c r="F155" s="30"/>
      <c r="G155" s="30"/>
    </row>
    <row r="156" spans="6:7" x14ac:dyDescent="0.25">
      <c r="F156" s="30"/>
      <c r="G156" s="30"/>
    </row>
    <row r="157" spans="6:7" x14ac:dyDescent="0.25">
      <c r="F157" s="30"/>
      <c r="G157" s="30"/>
    </row>
    <row r="158" spans="6:7" x14ac:dyDescent="0.25">
      <c r="F158" s="30"/>
      <c r="G158" s="30"/>
    </row>
    <row r="159" spans="6:7" x14ac:dyDescent="0.25">
      <c r="F159" s="30"/>
      <c r="G159" s="30"/>
    </row>
    <row r="160" spans="6:7" x14ac:dyDescent="0.25">
      <c r="F160" s="30"/>
      <c r="G160" s="30"/>
    </row>
    <row r="161" spans="6:7" x14ac:dyDescent="0.25">
      <c r="F161" s="30"/>
      <c r="G161" s="30"/>
    </row>
    <row r="162" spans="6:7" x14ac:dyDescent="0.25">
      <c r="F162" s="30"/>
      <c r="G162" s="30"/>
    </row>
    <row r="163" spans="6:7" x14ac:dyDescent="0.25">
      <c r="F163" s="30"/>
      <c r="G163" s="30"/>
    </row>
    <row r="164" spans="6:7" x14ac:dyDescent="0.25">
      <c r="F164" s="30"/>
      <c r="G164" s="30"/>
    </row>
    <row r="165" spans="6:7" x14ac:dyDescent="0.25">
      <c r="F165" s="30"/>
      <c r="G165" s="30"/>
    </row>
    <row r="166" spans="6:7" x14ac:dyDescent="0.25">
      <c r="F166" s="30"/>
      <c r="G166" s="30"/>
    </row>
    <row r="167" spans="6:7" x14ac:dyDescent="0.25">
      <c r="F167" s="30"/>
      <c r="G167" s="30"/>
    </row>
    <row r="168" spans="6:7" x14ac:dyDescent="0.25">
      <c r="F168" s="30"/>
      <c r="G168" s="30"/>
    </row>
    <row r="169" spans="6:7" x14ac:dyDescent="0.25">
      <c r="F169" s="30"/>
      <c r="G169" s="30"/>
    </row>
    <row r="170" spans="6:7" x14ac:dyDescent="0.25">
      <c r="F170" s="30"/>
      <c r="G170" s="30"/>
    </row>
    <row r="171" spans="6:7" x14ac:dyDescent="0.25">
      <c r="F171" s="30"/>
      <c r="G171" s="30"/>
    </row>
    <row r="172" spans="6:7" x14ac:dyDescent="0.25">
      <c r="F172" s="30"/>
      <c r="G172" s="30"/>
    </row>
    <row r="173" spans="6:7" x14ac:dyDescent="0.25">
      <c r="F173" s="30"/>
      <c r="G173" s="30"/>
    </row>
    <row r="174" spans="6:7" x14ac:dyDescent="0.25">
      <c r="F174" s="30"/>
      <c r="G174" s="30"/>
    </row>
    <row r="175" spans="6:7" x14ac:dyDescent="0.25">
      <c r="F175" s="30"/>
      <c r="G175" s="30"/>
    </row>
    <row r="176" spans="6:7" x14ac:dyDescent="0.25">
      <c r="F176" s="30"/>
      <c r="G176" s="30"/>
    </row>
    <row r="177" spans="6:7" x14ac:dyDescent="0.25">
      <c r="F177" s="30"/>
      <c r="G177" s="30"/>
    </row>
    <row r="178" spans="6:7" x14ac:dyDescent="0.25">
      <c r="F178" s="30"/>
      <c r="G178" s="30"/>
    </row>
    <row r="179" spans="6:7" x14ac:dyDescent="0.25">
      <c r="F179" s="30"/>
      <c r="G179" s="30"/>
    </row>
    <row r="180" spans="6:7" x14ac:dyDescent="0.25">
      <c r="F180" s="30"/>
      <c r="G180" s="30"/>
    </row>
    <row r="181" spans="6:7" x14ac:dyDescent="0.25">
      <c r="F181" s="30"/>
      <c r="G181" s="30"/>
    </row>
    <row r="182" spans="6:7" x14ac:dyDescent="0.25">
      <c r="F182" s="30"/>
      <c r="G182" s="30"/>
    </row>
    <row r="183" spans="6:7" x14ac:dyDescent="0.25">
      <c r="F183" s="30"/>
      <c r="G183" s="30"/>
    </row>
    <row r="184" spans="6:7" x14ac:dyDescent="0.25">
      <c r="F184" s="30"/>
      <c r="G184" s="30"/>
    </row>
    <row r="185" spans="6:7" x14ac:dyDescent="0.25">
      <c r="F185" s="30"/>
      <c r="G185" s="30"/>
    </row>
    <row r="186" spans="6:7" x14ac:dyDescent="0.25">
      <c r="F186" s="30"/>
      <c r="G186" s="30"/>
    </row>
    <row r="187" spans="6:7" x14ac:dyDescent="0.25">
      <c r="F187" s="30"/>
      <c r="G187" s="30"/>
    </row>
    <row r="188" spans="6:7" x14ac:dyDescent="0.25">
      <c r="F188" s="30"/>
      <c r="G188" s="30"/>
    </row>
    <row r="189" spans="6:7" x14ac:dyDescent="0.25">
      <c r="F189" s="30"/>
      <c r="G189" s="30"/>
    </row>
    <row r="190" spans="6:7" x14ac:dyDescent="0.25">
      <c r="F190" s="30"/>
      <c r="G190" s="30"/>
    </row>
    <row r="191" spans="6:7" x14ac:dyDescent="0.25">
      <c r="F191" s="30"/>
      <c r="G191" s="30"/>
    </row>
    <row r="192" spans="6:7" x14ac:dyDescent="0.25">
      <c r="F192" s="30"/>
      <c r="G192" s="30"/>
    </row>
    <row r="193" spans="6:7" x14ac:dyDescent="0.25">
      <c r="F193" s="30"/>
      <c r="G193" s="30"/>
    </row>
    <row r="194" spans="6:7" x14ac:dyDescent="0.25">
      <c r="F194" s="30"/>
      <c r="G194" s="30"/>
    </row>
    <row r="195" spans="6:7" x14ac:dyDescent="0.25">
      <c r="F195" s="30"/>
      <c r="G195" s="30"/>
    </row>
    <row r="196" spans="6:7" x14ac:dyDescent="0.25">
      <c r="F196" s="30"/>
      <c r="G196" s="30"/>
    </row>
    <row r="197" spans="6:7" x14ac:dyDescent="0.25">
      <c r="F197" s="30"/>
      <c r="G197" s="30"/>
    </row>
    <row r="198" spans="6:7" x14ac:dyDescent="0.25">
      <c r="F198" s="30"/>
      <c r="G198" s="30"/>
    </row>
    <row r="199" spans="6:7" x14ac:dyDescent="0.25">
      <c r="F199" s="30"/>
      <c r="G199" s="30"/>
    </row>
    <row r="200" spans="6:7" x14ac:dyDescent="0.25">
      <c r="F200" s="30"/>
      <c r="G200" s="30"/>
    </row>
    <row r="201" spans="6:7" x14ac:dyDescent="0.25">
      <c r="F201" s="30"/>
      <c r="G201" s="30"/>
    </row>
    <row r="202" spans="6:7" x14ac:dyDescent="0.25">
      <c r="F202" s="30"/>
      <c r="G202" s="30"/>
    </row>
    <row r="203" spans="6:7" x14ac:dyDescent="0.25">
      <c r="F203" s="30"/>
      <c r="G203" s="30"/>
    </row>
    <row r="204" spans="6:7" x14ac:dyDescent="0.25">
      <c r="F204" s="30"/>
      <c r="G204" s="30"/>
    </row>
    <row r="205" spans="6:7" x14ac:dyDescent="0.25">
      <c r="F205" s="30"/>
      <c r="G205" s="30"/>
    </row>
    <row r="206" spans="6:7" x14ac:dyDescent="0.25">
      <c r="F206" s="30"/>
      <c r="G206" s="30"/>
    </row>
    <row r="207" spans="6:7" x14ac:dyDescent="0.25">
      <c r="F207" s="30"/>
      <c r="G207" s="30"/>
    </row>
    <row r="208" spans="6:7" x14ac:dyDescent="0.25">
      <c r="F208" s="30"/>
      <c r="G208" s="30"/>
    </row>
    <row r="209" spans="6:7" x14ac:dyDescent="0.25">
      <c r="F209" s="30"/>
      <c r="G209" s="30"/>
    </row>
    <row r="210" spans="6:7" x14ac:dyDescent="0.25">
      <c r="F210" s="30"/>
      <c r="G210" s="30"/>
    </row>
    <row r="211" spans="6:7" x14ac:dyDescent="0.25">
      <c r="F211" s="30"/>
      <c r="G211" s="30"/>
    </row>
    <row r="212" spans="6:7" x14ac:dyDescent="0.25">
      <c r="F212" s="30"/>
      <c r="G212" s="30"/>
    </row>
    <row r="213" spans="6:7" x14ac:dyDescent="0.25">
      <c r="F213" s="30"/>
      <c r="G213" s="30"/>
    </row>
    <row r="214" spans="6:7" x14ac:dyDescent="0.25">
      <c r="F214" s="30"/>
      <c r="G214" s="30"/>
    </row>
    <row r="215" spans="6:7" x14ac:dyDescent="0.25">
      <c r="F215" s="30"/>
      <c r="G215" s="30"/>
    </row>
    <row r="216" spans="6:7" x14ac:dyDescent="0.25">
      <c r="F216" s="30"/>
      <c r="G216" s="30"/>
    </row>
    <row r="217" spans="6:7" x14ac:dyDescent="0.25">
      <c r="F217" s="30"/>
      <c r="G217" s="30"/>
    </row>
    <row r="218" spans="6:7" x14ac:dyDescent="0.25">
      <c r="F218" s="30"/>
      <c r="G218" s="30"/>
    </row>
    <row r="219" spans="6:7" x14ac:dyDescent="0.25">
      <c r="F219" s="30"/>
      <c r="G219" s="30"/>
    </row>
    <row r="220" spans="6:7" x14ac:dyDescent="0.25">
      <c r="F220" s="30"/>
      <c r="G220" s="30"/>
    </row>
    <row r="221" spans="6:7" x14ac:dyDescent="0.25">
      <c r="F221" s="30"/>
      <c r="G221" s="30"/>
    </row>
    <row r="222" spans="6:7" x14ac:dyDescent="0.25">
      <c r="F222" s="30"/>
      <c r="G222" s="30"/>
    </row>
    <row r="223" spans="6:7" x14ac:dyDescent="0.25">
      <c r="F223" s="30"/>
      <c r="G223" s="30"/>
    </row>
    <row r="224" spans="6:7" x14ac:dyDescent="0.25">
      <c r="F224" s="30"/>
      <c r="G224" s="30"/>
    </row>
    <row r="225" spans="6:7" x14ac:dyDescent="0.25">
      <c r="F225" s="30"/>
      <c r="G225" s="30"/>
    </row>
    <row r="226" spans="6:7" x14ac:dyDescent="0.25">
      <c r="F226" s="30"/>
      <c r="G226" s="30"/>
    </row>
    <row r="227" spans="6:7" x14ac:dyDescent="0.25">
      <c r="F227" s="30"/>
      <c r="G227" s="30"/>
    </row>
    <row r="228" spans="6:7" x14ac:dyDescent="0.25">
      <c r="F228" s="30"/>
      <c r="G228" s="30"/>
    </row>
    <row r="229" spans="6:7" x14ac:dyDescent="0.25">
      <c r="F229" s="30"/>
      <c r="G229" s="30"/>
    </row>
    <row r="230" spans="6:7" x14ac:dyDescent="0.25">
      <c r="F230" s="30"/>
      <c r="G230" s="30"/>
    </row>
    <row r="231" spans="6:7" x14ac:dyDescent="0.25">
      <c r="F231" s="30"/>
      <c r="G231" s="30"/>
    </row>
    <row r="232" spans="6:7" x14ac:dyDescent="0.25">
      <c r="F232" s="30"/>
      <c r="G232" s="30"/>
    </row>
    <row r="233" spans="6:7" x14ac:dyDescent="0.25">
      <c r="F233" s="30"/>
      <c r="G233" s="30"/>
    </row>
    <row r="234" spans="6:7" x14ac:dyDescent="0.25">
      <c r="F234" s="30"/>
      <c r="G234" s="30"/>
    </row>
    <row r="235" spans="6:7" x14ac:dyDescent="0.25">
      <c r="F235" s="30"/>
      <c r="G235" s="30"/>
    </row>
    <row r="236" spans="6:7" x14ac:dyDescent="0.25">
      <c r="F236" s="30"/>
      <c r="G236" s="30"/>
    </row>
    <row r="237" spans="6:7" x14ac:dyDescent="0.25">
      <c r="F237" s="30"/>
      <c r="G237" s="30"/>
    </row>
    <row r="238" spans="6:7" x14ac:dyDescent="0.25">
      <c r="F238" s="30"/>
      <c r="G238" s="30"/>
    </row>
    <row r="239" spans="6:7" x14ac:dyDescent="0.25">
      <c r="F239" s="30"/>
      <c r="G239" s="30"/>
    </row>
    <row r="240" spans="6:7" x14ac:dyDescent="0.25">
      <c r="F240" s="30"/>
      <c r="G240" s="30"/>
    </row>
    <row r="241" spans="6:7" x14ac:dyDescent="0.25">
      <c r="F241" s="30"/>
      <c r="G241" s="30"/>
    </row>
    <row r="242" spans="6:7" x14ac:dyDescent="0.25">
      <c r="F242" s="30"/>
      <c r="G242" s="30"/>
    </row>
    <row r="243" spans="6:7" x14ac:dyDescent="0.25">
      <c r="F243" s="30"/>
      <c r="G243" s="30"/>
    </row>
    <row r="244" spans="6:7" x14ac:dyDescent="0.25">
      <c r="F244" s="30"/>
      <c r="G244" s="30"/>
    </row>
    <row r="245" spans="6:7" x14ac:dyDescent="0.25">
      <c r="F245" s="30"/>
      <c r="G245" s="30"/>
    </row>
    <row r="246" spans="6:7" x14ac:dyDescent="0.25">
      <c r="F246" s="30"/>
      <c r="G246" s="30"/>
    </row>
    <row r="247" spans="6:7" x14ac:dyDescent="0.25">
      <c r="F247" s="30"/>
      <c r="G247" s="30"/>
    </row>
    <row r="248" spans="6:7" x14ac:dyDescent="0.25">
      <c r="F248" s="30"/>
      <c r="G248" s="30"/>
    </row>
    <row r="249" spans="6:7" x14ac:dyDescent="0.25">
      <c r="F249" s="30"/>
      <c r="G249" s="30"/>
    </row>
    <row r="250" spans="6:7" x14ac:dyDescent="0.25">
      <c r="F250" s="30"/>
      <c r="G250" s="30"/>
    </row>
    <row r="251" spans="6:7" x14ac:dyDescent="0.25">
      <c r="F251" s="30"/>
      <c r="G251" s="30"/>
    </row>
    <row r="252" spans="6:7" x14ac:dyDescent="0.25">
      <c r="F252" s="30"/>
      <c r="G252" s="30"/>
    </row>
    <row r="253" spans="6:7" x14ac:dyDescent="0.25">
      <c r="F253" s="30"/>
      <c r="G253" s="30"/>
    </row>
    <row r="254" spans="6:7" x14ac:dyDescent="0.25">
      <c r="F254" s="30"/>
      <c r="G254" s="30"/>
    </row>
    <row r="255" spans="6:7" x14ac:dyDescent="0.25">
      <c r="F255" s="30"/>
      <c r="G255" s="30"/>
    </row>
    <row r="256" spans="6:7" x14ac:dyDescent="0.25">
      <c r="F256" s="30"/>
      <c r="G256" s="30"/>
    </row>
    <row r="257" spans="6:7" x14ac:dyDescent="0.25">
      <c r="F257" s="30"/>
      <c r="G257" s="30"/>
    </row>
    <row r="258" spans="6:7" x14ac:dyDescent="0.25">
      <c r="F258" s="30"/>
      <c r="G258" s="30"/>
    </row>
    <row r="259" spans="6:7" x14ac:dyDescent="0.25">
      <c r="F259" s="30"/>
      <c r="G259" s="30"/>
    </row>
    <row r="260" spans="6:7" x14ac:dyDescent="0.25">
      <c r="F260" s="30"/>
      <c r="G260" s="30"/>
    </row>
    <row r="261" spans="6:7" x14ac:dyDescent="0.25">
      <c r="F261" s="30"/>
      <c r="G261" s="30"/>
    </row>
    <row r="262" spans="6:7" x14ac:dyDescent="0.25">
      <c r="F262" s="30"/>
      <c r="G262" s="30"/>
    </row>
    <row r="263" spans="6:7" x14ac:dyDescent="0.25">
      <c r="F263" s="30"/>
      <c r="G263" s="30"/>
    </row>
    <row r="264" spans="6:7" x14ac:dyDescent="0.25">
      <c r="F264" s="30"/>
      <c r="G264" s="30"/>
    </row>
    <row r="265" spans="6:7" x14ac:dyDescent="0.25">
      <c r="F265" s="30"/>
      <c r="G265" s="30"/>
    </row>
    <row r="266" spans="6:7" x14ac:dyDescent="0.25">
      <c r="F266" s="30"/>
      <c r="G266" s="30"/>
    </row>
    <row r="267" spans="6:7" x14ac:dyDescent="0.25">
      <c r="F267" s="30"/>
      <c r="G267" s="30"/>
    </row>
    <row r="268" spans="6:7" x14ac:dyDescent="0.25">
      <c r="F268" s="30"/>
      <c r="G268" s="30"/>
    </row>
    <row r="269" spans="6:7" x14ac:dyDescent="0.25">
      <c r="F269" s="30"/>
      <c r="G269" s="30"/>
    </row>
    <row r="270" spans="6:7" x14ac:dyDescent="0.25">
      <c r="F270" s="30"/>
      <c r="G270" s="30"/>
    </row>
    <row r="271" spans="6:7" x14ac:dyDescent="0.25">
      <c r="F271" s="30"/>
      <c r="G271" s="30"/>
    </row>
    <row r="272" spans="6:7" x14ac:dyDescent="0.25">
      <c r="F272" s="30"/>
      <c r="G272" s="30"/>
    </row>
    <row r="273" spans="6:7" x14ac:dyDescent="0.25">
      <c r="F273" s="30"/>
      <c r="G273" s="30"/>
    </row>
    <row r="274" spans="6:7" x14ac:dyDescent="0.25">
      <c r="F274" s="30"/>
      <c r="G274" s="30"/>
    </row>
    <row r="275" spans="6:7" x14ac:dyDescent="0.25">
      <c r="F275" s="30"/>
      <c r="G275" s="30"/>
    </row>
    <row r="276" spans="6:7" x14ac:dyDescent="0.25">
      <c r="F276" s="30"/>
      <c r="G276" s="30"/>
    </row>
    <row r="277" spans="6:7" x14ac:dyDescent="0.25">
      <c r="F277" s="30"/>
      <c r="G277" s="30"/>
    </row>
    <row r="278" spans="6:7" x14ac:dyDescent="0.25">
      <c r="F278" s="30"/>
      <c r="G278" s="30"/>
    </row>
    <row r="279" spans="6:7" x14ac:dyDescent="0.25">
      <c r="F279" s="30"/>
      <c r="G279" s="30"/>
    </row>
    <row r="280" spans="6:7" x14ac:dyDescent="0.25">
      <c r="F280" s="30"/>
      <c r="G280" s="30"/>
    </row>
    <row r="281" spans="6:7" x14ac:dyDescent="0.25">
      <c r="F281" s="30"/>
      <c r="G281" s="30"/>
    </row>
    <row r="282" spans="6:7" x14ac:dyDescent="0.25">
      <c r="F282" s="30"/>
      <c r="G282" s="30"/>
    </row>
    <row r="283" spans="6:7" x14ac:dyDescent="0.25">
      <c r="F283" s="30"/>
      <c r="G283" s="30"/>
    </row>
    <row r="284" spans="6:7" x14ac:dyDescent="0.25">
      <c r="F284" s="30"/>
      <c r="G284" s="30"/>
    </row>
    <row r="285" spans="6:7" x14ac:dyDescent="0.25">
      <c r="F285" s="30"/>
      <c r="G285" s="30"/>
    </row>
    <row r="286" spans="6:7" x14ac:dyDescent="0.25">
      <c r="F286" s="30"/>
      <c r="G286" s="30"/>
    </row>
    <row r="287" spans="6:7" x14ac:dyDescent="0.25">
      <c r="F287" s="30"/>
      <c r="G287" s="30"/>
    </row>
    <row r="288" spans="6:7" x14ac:dyDescent="0.25">
      <c r="F288" s="30"/>
      <c r="G288" s="30"/>
    </row>
    <row r="289" spans="6:7" x14ac:dyDescent="0.25">
      <c r="F289" s="30"/>
      <c r="G289" s="30"/>
    </row>
    <row r="290" spans="6:7" x14ac:dyDescent="0.25">
      <c r="F290" s="30"/>
      <c r="G290" s="30"/>
    </row>
    <row r="291" spans="6:7" x14ac:dyDescent="0.25">
      <c r="F291" s="30"/>
      <c r="G291" s="30"/>
    </row>
    <row r="292" spans="6:7" x14ac:dyDescent="0.25">
      <c r="F292" s="30"/>
      <c r="G292" s="30"/>
    </row>
    <row r="293" spans="6:7" x14ac:dyDescent="0.25">
      <c r="F293" s="30"/>
      <c r="G293" s="30"/>
    </row>
    <row r="294" spans="6:7" x14ac:dyDescent="0.25">
      <c r="F294" s="30"/>
      <c r="G294" s="30"/>
    </row>
    <row r="295" spans="6:7" x14ac:dyDescent="0.25">
      <c r="F295" s="30"/>
      <c r="G295" s="30"/>
    </row>
    <row r="296" spans="6:7" x14ac:dyDescent="0.25">
      <c r="F296" s="30"/>
      <c r="G296" s="30"/>
    </row>
    <row r="297" spans="6:7" x14ac:dyDescent="0.25">
      <c r="F297" s="30"/>
      <c r="G297" s="30"/>
    </row>
    <row r="298" spans="6:7" x14ac:dyDescent="0.25">
      <c r="F298" s="30"/>
      <c r="G298" s="30"/>
    </row>
    <row r="299" spans="6:7" x14ac:dyDescent="0.25">
      <c r="F299" s="30"/>
      <c r="G299" s="30"/>
    </row>
    <row r="300" spans="6:7" x14ac:dyDescent="0.25">
      <c r="F300" s="30"/>
      <c r="G300" s="30"/>
    </row>
    <row r="301" spans="6:7" x14ac:dyDescent="0.25">
      <c r="F301" s="30"/>
      <c r="G301" s="30"/>
    </row>
    <row r="302" spans="6:7" x14ac:dyDescent="0.25">
      <c r="F302" s="30"/>
      <c r="G302" s="30"/>
    </row>
    <row r="303" spans="6:7" x14ac:dyDescent="0.25">
      <c r="F303" s="30"/>
      <c r="G303" s="30"/>
    </row>
    <row r="304" spans="6:7" x14ac:dyDescent="0.25">
      <c r="F304" s="30"/>
      <c r="G304" s="30"/>
    </row>
    <row r="305" spans="6:7" x14ac:dyDescent="0.25">
      <c r="F305" s="30"/>
      <c r="G305" s="30"/>
    </row>
    <row r="306" spans="6:7" x14ac:dyDescent="0.25">
      <c r="F306" s="30"/>
      <c r="G306" s="30"/>
    </row>
    <row r="307" spans="6:7" x14ac:dyDescent="0.25">
      <c r="F307" s="30"/>
      <c r="G307" s="30"/>
    </row>
    <row r="308" spans="6:7" x14ac:dyDescent="0.25">
      <c r="F308" s="30"/>
      <c r="G308" s="30"/>
    </row>
    <row r="309" spans="6:7" x14ac:dyDescent="0.25">
      <c r="F309" s="30"/>
      <c r="G309" s="30"/>
    </row>
    <row r="310" spans="6:7" x14ac:dyDescent="0.25">
      <c r="F310" s="30"/>
      <c r="G310" s="30"/>
    </row>
    <row r="311" spans="6:7" x14ac:dyDescent="0.25">
      <c r="F311" s="30"/>
      <c r="G311" s="30"/>
    </row>
    <row r="312" spans="6:7" x14ac:dyDescent="0.25">
      <c r="F312" s="30"/>
      <c r="G312" s="30"/>
    </row>
    <row r="313" spans="6:7" x14ac:dyDescent="0.25">
      <c r="F313" s="30"/>
      <c r="G313" s="30"/>
    </row>
    <row r="314" spans="6:7" x14ac:dyDescent="0.25">
      <c r="F314" s="30"/>
      <c r="G314" s="30"/>
    </row>
    <row r="315" spans="6:7" x14ac:dyDescent="0.25">
      <c r="F315" s="30"/>
      <c r="G315" s="30"/>
    </row>
    <row r="316" spans="6:7" x14ac:dyDescent="0.25">
      <c r="F316" s="30"/>
      <c r="G316" s="30"/>
    </row>
    <row r="317" spans="6:7" x14ac:dyDescent="0.25">
      <c r="F317" s="30"/>
      <c r="G317" s="30"/>
    </row>
    <row r="318" spans="6:7" x14ac:dyDescent="0.25">
      <c r="F318" s="30"/>
      <c r="G318" s="30"/>
    </row>
    <row r="319" spans="6:7" x14ac:dyDescent="0.25">
      <c r="F319" s="30"/>
      <c r="G319" s="30"/>
    </row>
    <row r="320" spans="6:7" x14ac:dyDescent="0.25">
      <c r="F320" s="30"/>
      <c r="G320" s="30"/>
    </row>
    <row r="321" spans="6:7" x14ac:dyDescent="0.25">
      <c r="F321" s="30"/>
      <c r="G321" s="30"/>
    </row>
    <row r="322" spans="6:7" x14ac:dyDescent="0.25">
      <c r="F322" s="30"/>
      <c r="G322" s="30"/>
    </row>
    <row r="323" spans="6:7" x14ac:dyDescent="0.25">
      <c r="F323" s="30"/>
      <c r="G323" s="30"/>
    </row>
    <row r="324" spans="6:7" x14ac:dyDescent="0.25">
      <c r="F324" s="30"/>
      <c r="G324" s="30"/>
    </row>
    <row r="325" spans="6:7" x14ac:dyDescent="0.25">
      <c r="F325" s="30"/>
      <c r="G325" s="30"/>
    </row>
    <row r="326" spans="6:7" x14ac:dyDescent="0.25">
      <c r="F326" s="30"/>
      <c r="G326" s="30"/>
    </row>
    <row r="327" spans="6:7" x14ac:dyDescent="0.25">
      <c r="F327" s="30"/>
      <c r="G327" s="30"/>
    </row>
    <row r="328" spans="6:7" x14ac:dyDescent="0.25">
      <c r="F328" s="30"/>
      <c r="G328" s="30"/>
    </row>
    <row r="329" spans="6:7" x14ac:dyDescent="0.25">
      <c r="F329" s="30"/>
      <c r="G329" s="30"/>
    </row>
    <row r="330" spans="6:7" x14ac:dyDescent="0.25">
      <c r="F330" s="30"/>
      <c r="G330" s="30"/>
    </row>
    <row r="331" spans="6:7" x14ac:dyDescent="0.25">
      <c r="F331" s="30"/>
      <c r="G331" s="30"/>
    </row>
    <row r="332" spans="6:7" x14ac:dyDescent="0.25">
      <c r="F332" s="30"/>
      <c r="G332" s="30"/>
    </row>
    <row r="333" spans="6:7" x14ac:dyDescent="0.25">
      <c r="F333" s="30"/>
      <c r="G333" s="30"/>
    </row>
    <row r="334" spans="6:7" x14ac:dyDescent="0.25">
      <c r="F334" s="30"/>
      <c r="G334" s="30"/>
    </row>
    <row r="335" spans="6:7" x14ac:dyDescent="0.25">
      <c r="F335" s="30"/>
      <c r="G335" s="30"/>
    </row>
    <row r="336" spans="6:7" x14ac:dyDescent="0.25">
      <c r="F336" s="30"/>
      <c r="G336" s="30"/>
    </row>
    <row r="337" spans="6:7" x14ac:dyDescent="0.25">
      <c r="F337" s="30"/>
      <c r="G337" s="30"/>
    </row>
    <row r="338" spans="6:7" x14ac:dyDescent="0.25">
      <c r="F338" s="30"/>
      <c r="G338" s="30"/>
    </row>
    <row r="339" spans="6:7" x14ac:dyDescent="0.25">
      <c r="F339" s="30"/>
      <c r="G339" s="30"/>
    </row>
    <row r="340" spans="6:7" x14ac:dyDescent="0.25">
      <c r="F340" s="30"/>
      <c r="G340" s="30"/>
    </row>
    <row r="341" spans="6:7" x14ac:dyDescent="0.25">
      <c r="F341" s="30"/>
      <c r="G341" s="30"/>
    </row>
    <row r="342" spans="6:7" x14ac:dyDescent="0.25">
      <c r="F342" s="30"/>
      <c r="G342" s="30"/>
    </row>
    <row r="343" spans="6:7" x14ac:dyDescent="0.25">
      <c r="F343" s="30"/>
      <c r="G343" s="30"/>
    </row>
    <row r="344" spans="6:7" x14ac:dyDescent="0.25">
      <c r="F344" s="30"/>
      <c r="G344" s="30"/>
    </row>
    <row r="345" spans="6:7" x14ac:dyDescent="0.25">
      <c r="F345" s="30"/>
      <c r="G345" s="30"/>
    </row>
    <row r="346" spans="6:7" x14ac:dyDescent="0.25">
      <c r="F346" s="30"/>
      <c r="G346" s="30"/>
    </row>
    <row r="347" spans="6:7" x14ac:dyDescent="0.25">
      <c r="F347" s="30"/>
      <c r="G347" s="30"/>
    </row>
    <row r="348" spans="6:7" x14ac:dyDescent="0.25">
      <c r="F348" s="30"/>
      <c r="G348" s="30"/>
    </row>
    <row r="349" spans="6:7" x14ac:dyDescent="0.25">
      <c r="F349" s="30"/>
      <c r="G349" s="30"/>
    </row>
    <row r="350" spans="6:7" x14ac:dyDescent="0.25">
      <c r="F350" s="30"/>
      <c r="G350" s="30"/>
    </row>
    <row r="351" spans="6:7" x14ac:dyDescent="0.25">
      <c r="F351" s="30"/>
      <c r="G351" s="30"/>
    </row>
    <row r="352" spans="6:7" x14ac:dyDescent="0.25">
      <c r="F352" s="30"/>
      <c r="G352" s="30"/>
    </row>
    <row r="353" spans="6:7" x14ac:dyDescent="0.25">
      <c r="F353" s="30"/>
      <c r="G353" s="30"/>
    </row>
    <row r="354" spans="6:7" x14ac:dyDescent="0.25">
      <c r="F354" s="30"/>
      <c r="G354" s="30"/>
    </row>
    <row r="355" spans="6:7" x14ac:dyDescent="0.25">
      <c r="F355" s="30"/>
      <c r="G355" s="30"/>
    </row>
    <row r="356" spans="6:7" x14ac:dyDescent="0.25">
      <c r="F356" s="30"/>
      <c r="G356" s="30"/>
    </row>
    <row r="357" spans="6:7" x14ac:dyDescent="0.25">
      <c r="F357" s="30"/>
      <c r="G357" s="30"/>
    </row>
    <row r="358" spans="6:7" x14ac:dyDescent="0.25">
      <c r="F358" s="30"/>
      <c r="G358" s="30"/>
    </row>
    <row r="359" spans="6:7" x14ac:dyDescent="0.25">
      <c r="F359" s="30"/>
      <c r="G359" s="30"/>
    </row>
    <row r="360" spans="6:7" x14ac:dyDescent="0.25">
      <c r="F360" s="30"/>
      <c r="G360" s="30"/>
    </row>
    <row r="361" spans="6:7" x14ac:dyDescent="0.25">
      <c r="F361" s="30"/>
      <c r="G361" s="30"/>
    </row>
    <row r="362" spans="6:7" x14ac:dyDescent="0.25">
      <c r="F362" s="30"/>
      <c r="G362" s="30"/>
    </row>
    <row r="363" spans="6:7" x14ac:dyDescent="0.25">
      <c r="F363" s="30"/>
      <c r="G363" s="30"/>
    </row>
    <row r="364" spans="6:7" x14ac:dyDescent="0.25">
      <c r="F364" s="30"/>
      <c r="G364" s="30"/>
    </row>
    <row r="365" spans="6:7" x14ac:dyDescent="0.25">
      <c r="F365" s="30"/>
      <c r="G365" s="30"/>
    </row>
    <row r="366" spans="6:7" x14ac:dyDescent="0.25">
      <c r="F366" s="30"/>
      <c r="G366" s="30"/>
    </row>
    <row r="367" spans="6:7" x14ac:dyDescent="0.25">
      <c r="F367" s="30"/>
      <c r="G367" s="30"/>
    </row>
    <row r="368" spans="6:7" x14ac:dyDescent="0.25">
      <c r="F368" s="30"/>
      <c r="G368" s="30"/>
    </row>
    <row r="369" spans="6:7" x14ac:dyDescent="0.25">
      <c r="F369" s="30"/>
      <c r="G369" s="30"/>
    </row>
    <row r="370" spans="6:7" x14ac:dyDescent="0.25">
      <c r="F370" s="30"/>
      <c r="G370" s="30"/>
    </row>
    <row r="371" spans="6:7" x14ac:dyDescent="0.25">
      <c r="F371" s="30"/>
      <c r="G371" s="30"/>
    </row>
    <row r="372" spans="6:7" x14ac:dyDescent="0.25">
      <c r="F372" s="30"/>
      <c r="G372" s="30"/>
    </row>
    <row r="373" spans="6:7" x14ac:dyDescent="0.25">
      <c r="F373" s="30"/>
      <c r="G373" s="30"/>
    </row>
    <row r="374" spans="6:7" x14ac:dyDescent="0.25">
      <c r="F374" s="30"/>
      <c r="G374" s="30"/>
    </row>
    <row r="375" spans="6:7" x14ac:dyDescent="0.25">
      <c r="F375" s="30"/>
      <c r="G375" s="30"/>
    </row>
    <row r="376" spans="6:7" x14ac:dyDescent="0.25">
      <c r="F376" s="30"/>
      <c r="G376" s="30"/>
    </row>
    <row r="377" spans="6:7" x14ac:dyDescent="0.25">
      <c r="F377" s="30"/>
      <c r="G377" s="30"/>
    </row>
    <row r="378" spans="6:7" x14ac:dyDescent="0.25">
      <c r="F378" s="30"/>
      <c r="G378" s="30"/>
    </row>
    <row r="379" spans="6:7" x14ac:dyDescent="0.25">
      <c r="F379" s="30"/>
      <c r="G379" s="30"/>
    </row>
    <row r="380" spans="6:7" x14ac:dyDescent="0.25">
      <c r="F380" s="30"/>
      <c r="G380" s="30"/>
    </row>
    <row r="381" spans="6:7" x14ac:dyDescent="0.25">
      <c r="F381" s="30"/>
      <c r="G381" s="30"/>
    </row>
    <row r="382" spans="6:7" x14ac:dyDescent="0.25">
      <c r="F382" s="30"/>
      <c r="G382" s="30"/>
    </row>
    <row r="383" spans="6:7" x14ac:dyDescent="0.25">
      <c r="F383" s="30"/>
      <c r="G383" s="30"/>
    </row>
    <row r="384" spans="6:7" x14ac:dyDescent="0.25">
      <c r="F384" s="30"/>
      <c r="G384" s="30"/>
    </row>
    <row r="385" spans="6:7" x14ac:dyDescent="0.25">
      <c r="F385" s="30"/>
      <c r="G385" s="30"/>
    </row>
    <row r="386" spans="6:7" x14ac:dyDescent="0.25">
      <c r="F386" s="30"/>
      <c r="G386" s="30"/>
    </row>
    <row r="387" spans="6:7" x14ac:dyDescent="0.25">
      <c r="F387" s="30"/>
      <c r="G387" s="30"/>
    </row>
    <row r="388" spans="6:7" x14ac:dyDescent="0.25">
      <c r="F388" s="30"/>
      <c r="G388" s="30"/>
    </row>
    <row r="389" spans="6:7" x14ac:dyDescent="0.25">
      <c r="F389" s="30"/>
      <c r="G389" s="30"/>
    </row>
    <row r="390" spans="6:7" x14ac:dyDescent="0.25">
      <c r="F390" s="30"/>
      <c r="G390" s="30"/>
    </row>
    <row r="391" spans="6:7" x14ac:dyDescent="0.25">
      <c r="F391" s="30"/>
      <c r="G391" s="30"/>
    </row>
    <row r="392" spans="6:7" x14ac:dyDescent="0.25">
      <c r="F392" s="30"/>
      <c r="G392" s="30"/>
    </row>
    <row r="393" spans="6:7" x14ac:dyDescent="0.25">
      <c r="F393" s="30"/>
      <c r="G393" s="30"/>
    </row>
    <row r="394" spans="6:7" x14ac:dyDescent="0.25">
      <c r="F394" s="30"/>
      <c r="G394" s="30"/>
    </row>
    <row r="395" spans="6:7" x14ac:dyDescent="0.25">
      <c r="F395" s="30"/>
      <c r="G395" s="30"/>
    </row>
    <row r="396" spans="6:7" x14ac:dyDescent="0.25">
      <c r="F396" s="30"/>
      <c r="G396" s="30"/>
    </row>
    <row r="397" spans="6:7" x14ac:dyDescent="0.25">
      <c r="F397" s="30"/>
      <c r="G397" s="30"/>
    </row>
    <row r="398" spans="6:7" x14ac:dyDescent="0.25">
      <c r="F398" s="30"/>
      <c r="G398" s="30"/>
    </row>
    <row r="399" spans="6:7" x14ac:dyDescent="0.25">
      <c r="F399" s="30"/>
      <c r="G399" s="30"/>
    </row>
    <row r="400" spans="6:7" x14ac:dyDescent="0.25">
      <c r="F400" s="30"/>
      <c r="G400" s="30"/>
    </row>
    <row r="401" spans="6:7" x14ac:dyDescent="0.25">
      <c r="F401" s="30"/>
      <c r="G401" s="30"/>
    </row>
    <row r="402" spans="6:7" x14ac:dyDescent="0.25">
      <c r="F402" s="30"/>
      <c r="G402" s="30"/>
    </row>
    <row r="403" spans="6:7" x14ac:dyDescent="0.25">
      <c r="F403" s="30"/>
      <c r="G403" s="30"/>
    </row>
    <row r="404" spans="6:7" x14ac:dyDescent="0.25">
      <c r="F404" s="30"/>
      <c r="G404" s="30"/>
    </row>
    <row r="405" spans="6:7" x14ac:dyDescent="0.25">
      <c r="F405" s="30"/>
      <c r="G405" s="30"/>
    </row>
    <row r="406" spans="6:7" x14ac:dyDescent="0.25">
      <c r="F406" s="30"/>
      <c r="G406" s="30"/>
    </row>
    <row r="407" spans="6:7" x14ac:dyDescent="0.25">
      <c r="F407" s="30"/>
      <c r="G407" s="30"/>
    </row>
    <row r="408" spans="6:7" x14ac:dyDescent="0.25">
      <c r="F408" s="30"/>
      <c r="G408" s="30"/>
    </row>
    <row r="409" spans="6:7" x14ac:dyDescent="0.25">
      <c r="F409" s="30"/>
      <c r="G409" s="30"/>
    </row>
    <row r="410" spans="6:7" x14ac:dyDescent="0.25">
      <c r="F410" s="30"/>
      <c r="G410" s="30"/>
    </row>
    <row r="411" spans="6:7" x14ac:dyDescent="0.25">
      <c r="F411" s="30"/>
      <c r="G411" s="30"/>
    </row>
    <row r="412" spans="6:7" x14ac:dyDescent="0.25">
      <c r="F412" s="30"/>
      <c r="G412" s="30"/>
    </row>
    <row r="413" spans="6:7" x14ac:dyDescent="0.25">
      <c r="F413" s="30"/>
      <c r="G413" s="30"/>
    </row>
    <row r="414" spans="6:7" x14ac:dyDescent="0.25">
      <c r="F414" s="30"/>
      <c r="G414" s="30"/>
    </row>
    <row r="415" spans="6:7" x14ac:dyDescent="0.25">
      <c r="F415" s="30"/>
      <c r="G415" s="30"/>
    </row>
    <row r="416" spans="6:7" x14ac:dyDescent="0.25">
      <c r="F416" s="30"/>
      <c r="G416" s="30"/>
    </row>
    <row r="417" spans="6:7" x14ac:dyDescent="0.25">
      <c r="F417" s="30"/>
      <c r="G417" s="30"/>
    </row>
    <row r="418" spans="6:7" x14ac:dyDescent="0.25">
      <c r="F418" s="30"/>
      <c r="G418" s="30"/>
    </row>
    <row r="419" spans="6:7" x14ac:dyDescent="0.25">
      <c r="F419" s="30"/>
      <c r="G419" s="30"/>
    </row>
    <row r="420" spans="6:7" x14ac:dyDescent="0.25">
      <c r="F420" s="30"/>
      <c r="G420" s="30"/>
    </row>
    <row r="421" spans="6:7" x14ac:dyDescent="0.25">
      <c r="F421" s="30"/>
      <c r="G421" s="30"/>
    </row>
    <row r="422" spans="6:7" x14ac:dyDescent="0.25">
      <c r="F422" s="30"/>
      <c r="G422" s="30"/>
    </row>
    <row r="423" spans="6:7" x14ac:dyDescent="0.25">
      <c r="F423" s="30"/>
      <c r="G423" s="30"/>
    </row>
    <row r="424" spans="6:7" x14ac:dyDescent="0.25">
      <c r="F424" s="30"/>
      <c r="G424" s="30"/>
    </row>
    <row r="425" spans="6:7" x14ac:dyDescent="0.25">
      <c r="F425" s="30"/>
      <c r="G425" s="30"/>
    </row>
    <row r="426" spans="6:7" x14ac:dyDescent="0.25">
      <c r="F426" s="30"/>
      <c r="G426" s="30"/>
    </row>
    <row r="427" spans="6:7" x14ac:dyDescent="0.25">
      <c r="F427" s="30"/>
      <c r="G427" s="30"/>
    </row>
    <row r="428" spans="6:7" x14ac:dyDescent="0.25">
      <c r="F428" s="30"/>
      <c r="G428" s="30"/>
    </row>
    <row r="429" spans="6:7" x14ac:dyDescent="0.25">
      <c r="F429" s="30"/>
      <c r="G429" s="30"/>
    </row>
    <row r="430" spans="6:7" x14ac:dyDescent="0.25">
      <c r="F430" s="30"/>
      <c r="G430" s="30"/>
    </row>
    <row r="431" spans="6:7" x14ac:dyDescent="0.25">
      <c r="F431" s="30"/>
      <c r="G431" s="30"/>
    </row>
    <row r="432" spans="6:7" x14ac:dyDescent="0.25">
      <c r="F432" s="30"/>
      <c r="G432" s="30"/>
    </row>
    <row r="433" spans="6:7" x14ac:dyDescent="0.25">
      <c r="F433" s="30"/>
      <c r="G433" s="30"/>
    </row>
    <row r="434" spans="6:7" x14ac:dyDescent="0.25">
      <c r="F434" s="30"/>
      <c r="G434" s="30"/>
    </row>
    <row r="435" spans="6:7" x14ac:dyDescent="0.25">
      <c r="F435" s="30"/>
      <c r="G435" s="30"/>
    </row>
    <row r="436" spans="6:7" x14ac:dyDescent="0.25">
      <c r="F436" s="30"/>
      <c r="G436" s="30"/>
    </row>
    <row r="437" spans="6:7" x14ac:dyDescent="0.25">
      <c r="F437" s="30"/>
      <c r="G437" s="30"/>
    </row>
    <row r="438" spans="6:7" x14ac:dyDescent="0.25">
      <c r="F438" s="30"/>
      <c r="G438" s="30"/>
    </row>
    <row r="439" spans="6:7" x14ac:dyDescent="0.25">
      <c r="F439" s="30"/>
      <c r="G439" s="30"/>
    </row>
    <row r="440" spans="6:7" x14ac:dyDescent="0.25">
      <c r="F440" s="30"/>
      <c r="G440" s="30"/>
    </row>
    <row r="441" spans="6:7" x14ac:dyDescent="0.25">
      <c r="F441" s="30"/>
      <c r="G441" s="30"/>
    </row>
    <row r="442" spans="6:7" x14ac:dyDescent="0.25">
      <c r="F442" s="30"/>
      <c r="G442" s="30"/>
    </row>
    <row r="443" spans="6:7" x14ac:dyDescent="0.25">
      <c r="F443" s="30"/>
      <c r="G443" s="30"/>
    </row>
    <row r="444" spans="6:7" x14ac:dyDescent="0.25">
      <c r="F444" s="30"/>
      <c r="G444" s="30"/>
    </row>
    <row r="445" spans="6:7" x14ac:dyDescent="0.25">
      <c r="F445" s="30"/>
      <c r="G445" s="30"/>
    </row>
    <row r="446" spans="6:7" x14ac:dyDescent="0.25">
      <c r="F446" s="30"/>
      <c r="G446" s="30"/>
    </row>
    <row r="447" spans="6:7" x14ac:dyDescent="0.25">
      <c r="F447" s="30"/>
      <c r="G447" s="30"/>
    </row>
    <row r="448" spans="6:7" x14ac:dyDescent="0.25">
      <c r="F448" s="30"/>
      <c r="G448" s="30"/>
    </row>
    <row r="449" spans="6:7" x14ac:dyDescent="0.25">
      <c r="F449" s="30"/>
      <c r="G449" s="30"/>
    </row>
    <row r="450" spans="6:7" x14ac:dyDescent="0.25">
      <c r="F450" s="30"/>
      <c r="G450" s="30"/>
    </row>
    <row r="451" spans="6:7" x14ac:dyDescent="0.25">
      <c r="F451" s="30"/>
      <c r="G451" s="30"/>
    </row>
    <row r="452" spans="6:7" x14ac:dyDescent="0.25">
      <c r="F452" s="30"/>
      <c r="G452" s="30"/>
    </row>
    <row r="453" spans="6:7" x14ac:dyDescent="0.25">
      <c r="F453" s="30"/>
      <c r="G453" s="30"/>
    </row>
    <row r="454" spans="6:7" x14ac:dyDescent="0.25">
      <c r="F454" s="30"/>
      <c r="G454" s="30"/>
    </row>
    <row r="455" spans="6:7" x14ac:dyDescent="0.25">
      <c r="F455" s="30"/>
      <c r="G455" s="30"/>
    </row>
    <row r="456" spans="6:7" x14ac:dyDescent="0.25">
      <c r="F456" s="30"/>
      <c r="G456" s="30"/>
    </row>
    <row r="457" spans="6:7" x14ac:dyDescent="0.25">
      <c r="F457" s="30"/>
      <c r="G457" s="30"/>
    </row>
    <row r="458" spans="6:7" x14ac:dyDescent="0.25">
      <c r="F458" s="30"/>
      <c r="G458" s="30"/>
    </row>
    <row r="459" spans="6:7" x14ac:dyDescent="0.25">
      <c r="F459" s="30"/>
      <c r="G459" s="30"/>
    </row>
    <row r="460" spans="6:7" x14ac:dyDescent="0.25">
      <c r="F460" s="30"/>
      <c r="G460" s="30"/>
    </row>
    <row r="461" spans="6:7" x14ac:dyDescent="0.25">
      <c r="F461" s="30"/>
      <c r="G461" s="30"/>
    </row>
    <row r="462" spans="6:7" x14ac:dyDescent="0.25">
      <c r="F462" s="30"/>
      <c r="G462" s="30"/>
    </row>
    <row r="463" spans="6:7" x14ac:dyDescent="0.25">
      <c r="F463" s="30"/>
      <c r="G463" s="30"/>
    </row>
    <row r="464" spans="6:7" x14ac:dyDescent="0.25">
      <c r="F464" s="30"/>
      <c r="G464" s="30"/>
    </row>
    <row r="465" spans="6:7" x14ac:dyDescent="0.25">
      <c r="F465" s="30"/>
      <c r="G465" s="30"/>
    </row>
    <row r="466" spans="6:7" x14ac:dyDescent="0.25">
      <c r="F466" s="30"/>
      <c r="G466" s="30"/>
    </row>
    <row r="467" spans="6:7" x14ac:dyDescent="0.25">
      <c r="F467" s="30"/>
      <c r="G467" s="30"/>
    </row>
    <row r="468" spans="6:7" x14ac:dyDescent="0.25">
      <c r="F468" s="30"/>
      <c r="G468" s="30"/>
    </row>
    <row r="469" spans="6:7" x14ac:dyDescent="0.25">
      <c r="F469" s="30"/>
      <c r="G469" s="30"/>
    </row>
    <row r="470" spans="6:7" x14ac:dyDescent="0.25">
      <c r="F470" s="30"/>
      <c r="G470" s="30"/>
    </row>
    <row r="471" spans="6:7" x14ac:dyDescent="0.25">
      <c r="F471" s="30"/>
      <c r="G471" s="30"/>
    </row>
    <row r="472" spans="6:7" x14ac:dyDescent="0.25">
      <c r="F472" s="30"/>
      <c r="G472" s="30"/>
    </row>
    <row r="473" spans="6:7" x14ac:dyDescent="0.25">
      <c r="F473" s="30"/>
      <c r="G473" s="30"/>
    </row>
    <row r="474" spans="6:7" x14ac:dyDescent="0.25">
      <c r="F474" s="30"/>
      <c r="G474" s="30"/>
    </row>
    <row r="475" spans="6:7" x14ac:dyDescent="0.25">
      <c r="F475" s="30"/>
      <c r="G475" s="30"/>
    </row>
    <row r="476" spans="6:7" x14ac:dyDescent="0.25">
      <c r="F476" s="30"/>
      <c r="G476" s="30"/>
    </row>
    <row r="477" spans="6:7" x14ac:dyDescent="0.25">
      <c r="F477" s="30"/>
      <c r="G477" s="30"/>
    </row>
    <row r="478" spans="6:7" x14ac:dyDescent="0.25">
      <c r="F478" s="30"/>
      <c r="G478" s="30"/>
    </row>
    <row r="479" spans="6:7" x14ac:dyDescent="0.25">
      <c r="F479" s="30"/>
      <c r="G479" s="30"/>
    </row>
    <row r="480" spans="6:7" x14ac:dyDescent="0.25">
      <c r="F480" s="30"/>
      <c r="G480" s="30"/>
    </row>
    <row r="481" spans="6:7" x14ac:dyDescent="0.25">
      <c r="F481" s="30"/>
      <c r="G481" s="30"/>
    </row>
    <row r="482" spans="6:7" x14ac:dyDescent="0.25">
      <c r="F482" s="30"/>
      <c r="G482" s="30"/>
    </row>
    <row r="483" spans="6:7" x14ac:dyDescent="0.25">
      <c r="F483" s="30"/>
      <c r="G483" s="30"/>
    </row>
    <row r="484" spans="6:7" x14ac:dyDescent="0.25">
      <c r="F484" s="30"/>
      <c r="G484" s="30"/>
    </row>
    <row r="485" spans="6:7" x14ac:dyDescent="0.25">
      <c r="F485" s="30"/>
      <c r="G485" s="30"/>
    </row>
    <row r="486" spans="6:7" x14ac:dyDescent="0.25">
      <c r="F486" s="30"/>
      <c r="G486" s="30"/>
    </row>
    <row r="487" spans="6:7" x14ac:dyDescent="0.25">
      <c r="F487" s="30"/>
      <c r="G487" s="30"/>
    </row>
    <row r="488" spans="6:7" x14ac:dyDescent="0.25">
      <c r="F488" s="30"/>
      <c r="G488" s="30"/>
    </row>
    <row r="489" spans="6:7" x14ac:dyDescent="0.25">
      <c r="F489" s="30"/>
      <c r="G489" s="30"/>
    </row>
    <row r="490" spans="6:7" x14ac:dyDescent="0.25">
      <c r="F490" s="30"/>
      <c r="G490" s="30"/>
    </row>
    <row r="491" spans="6:7" x14ac:dyDescent="0.25">
      <c r="F491" s="30"/>
      <c r="G491" s="30"/>
    </row>
    <row r="492" spans="6:7" x14ac:dyDescent="0.25">
      <c r="F492" s="30"/>
      <c r="G492" s="30"/>
    </row>
    <row r="493" spans="6:7" x14ac:dyDescent="0.25">
      <c r="F493" s="30"/>
      <c r="G493" s="30"/>
    </row>
    <row r="494" spans="6:7" x14ac:dyDescent="0.25">
      <c r="F494" s="30"/>
      <c r="G494" s="30"/>
    </row>
    <row r="495" spans="6:7" x14ac:dyDescent="0.25">
      <c r="F495" s="30"/>
      <c r="G495" s="30"/>
    </row>
    <row r="496" spans="6:7" x14ac:dyDescent="0.25">
      <c r="F496" s="30"/>
      <c r="G496" s="30"/>
    </row>
    <row r="497" spans="6:7" x14ac:dyDescent="0.25">
      <c r="F497" s="30"/>
      <c r="G497" s="30"/>
    </row>
    <row r="498" spans="6:7" x14ac:dyDescent="0.25">
      <c r="F498" s="30"/>
      <c r="G498" s="30"/>
    </row>
    <row r="499" spans="6:7" x14ac:dyDescent="0.25">
      <c r="F499" s="30"/>
      <c r="G499" s="30"/>
    </row>
    <row r="500" spans="6:7" x14ac:dyDescent="0.25">
      <c r="F500" s="30"/>
      <c r="G500" s="30"/>
    </row>
  </sheetData>
  <mergeCells count="2">
    <mergeCell ref="A1:J1"/>
    <mergeCell ref="A2:J2"/>
  </mergeCells>
  <conditionalFormatting sqref="I5:I500">
    <cfRule type="expression" dxfId="8" priority="1">
      <formula>I5="Pendente"</formula>
    </cfRule>
  </conditionalFormatting>
  <conditionalFormatting sqref="I5:I500">
    <cfRule type="expression" dxfId="7" priority="2">
      <formula>I5="Conferido"</formula>
    </cfRule>
  </conditionalFormatting>
  <dataValidations count="3">
    <dataValidation type="list" allowBlank="1" showInputMessage="1" showErrorMessage="1" sqref="A5:A500" xr:uid="{A526D133-9198-4C34-AA04-557A5DF636C8}">
      <formula1>"Sim,Não"</formula1>
    </dataValidation>
    <dataValidation type="list" allowBlank="1" showInputMessage="1" showErrorMessage="1" sqref="B5:B500" xr:uid="{2F0010DA-B53E-4D1B-A2F1-DE408AE7AE0A}">
      <formula1>"Tributável,Isento,Tributação exclusiva,Exterior,Outro"</formula1>
    </dataValidation>
    <dataValidation type="list" allowBlank="1" showInputMessage="1" showErrorMessage="1" sqref="I5:I500" xr:uid="{C1D8B0B8-ABD1-4B4D-BC3B-79D3D0DB84EA}">
      <formula1>"Exemplo,Pendente,Conferido"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F576-C754-4A7B-B01F-E8D148D2B186}">
  <dimension ref="A1:J500"/>
  <sheetViews>
    <sheetView showGridLines="0" workbookViewId="0">
      <selection sqref="A1:J1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24.7109375" customWidth="1"/>
    <col min="4" max="4" width="17.5703125" bestFit="1" customWidth="1"/>
    <col min="5" max="5" width="29.5703125" customWidth="1"/>
    <col min="6" max="6" width="12.28515625" bestFit="1" customWidth="1"/>
    <col min="7" max="7" width="12.85546875" bestFit="1" customWidth="1"/>
    <col min="8" max="8" width="14" bestFit="1" customWidth="1"/>
    <col min="9" max="10" width="22.85546875" customWidth="1"/>
  </cols>
  <sheetData>
    <row r="1" spans="1:10" s="6" customFormat="1" ht="33.950000000000003" customHeight="1" x14ac:dyDescent="0.25">
      <c r="A1" s="4" t="s">
        <v>63</v>
      </c>
      <c r="B1" s="5"/>
      <c r="C1" s="5"/>
      <c r="D1" s="5"/>
      <c r="E1" s="5"/>
      <c r="F1" s="5"/>
      <c r="G1" s="5"/>
      <c r="H1" s="5"/>
      <c r="I1" s="5"/>
      <c r="J1" s="5"/>
    </row>
    <row r="2" spans="1:10" s="20" customFormat="1" ht="24" customHeight="1" x14ac:dyDescent="0.25">
      <c r="A2" s="18" t="s">
        <v>64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7.95" customHeight="1" x14ac:dyDescent="0.25">
      <c r="A4" s="3" t="s">
        <v>46</v>
      </c>
      <c r="B4" s="3" t="s">
        <v>47</v>
      </c>
      <c r="C4" s="3" t="s">
        <v>65</v>
      </c>
      <c r="D4" s="3" t="s">
        <v>49</v>
      </c>
      <c r="E4" s="3" t="s">
        <v>50</v>
      </c>
      <c r="F4" s="3" t="s">
        <v>66</v>
      </c>
      <c r="G4" s="3" t="s">
        <v>67</v>
      </c>
      <c r="H4" s="3" t="s">
        <v>68</v>
      </c>
      <c r="I4" s="3" t="s">
        <v>54</v>
      </c>
      <c r="J4" s="3" t="s">
        <v>55</v>
      </c>
    </row>
    <row r="5" spans="1:10" x14ac:dyDescent="0.25">
      <c r="A5" s="3" t="s">
        <v>43</v>
      </c>
      <c r="B5" s="3" t="s">
        <v>69</v>
      </c>
      <c r="C5" s="3" t="s">
        <v>70</v>
      </c>
      <c r="D5" s="3" t="s">
        <v>58</v>
      </c>
      <c r="E5" s="3" t="s">
        <v>71</v>
      </c>
      <c r="F5" s="29">
        <v>500</v>
      </c>
      <c r="G5" s="29">
        <v>0</v>
      </c>
      <c r="H5" s="29">
        <f>F5-G5</f>
        <v>500</v>
      </c>
      <c r="I5" s="3" t="s">
        <v>61</v>
      </c>
      <c r="J5" s="3" t="s">
        <v>62</v>
      </c>
    </row>
    <row r="6" spans="1:10" x14ac:dyDescent="0.25">
      <c r="F6" s="30"/>
      <c r="G6" s="30"/>
      <c r="H6" s="30"/>
    </row>
    <row r="7" spans="1:10" x14ac:dyDescent="0.25">
      <c r="F7" s="30"/>
      <c r="G7" s="30"/>
      <c r="H7" s="30"/>
    </row>
    <row r="8" spans="1:10" x14ac:dyDescent="0.25">
      <c r="F8" s="30"/>
      <c r="G8" s="30"/>
      <c r="H8" s="30"/>
    </row>
    <row r="9" spans="1:10" x14ac:dyDescent="0.25">
      <c r="F9" s="30"/>
      <c r="G9" s="30"/>
      <c r="H9" s="30"/>
    </row>
    <row r="10" spans="1:10" x14ac:dyDescent="0.25">
      <c r="F10" s="30"/>
      <c r="G10" s="30"/>
      <c r="H10" s="30"/>
    </row>
    <row r="11" spans="1:10" x14ac:dyDescent="0.25">
      <c r="F11" s="30"/>
      <c r="G11" s="30"/>
      <c r="H11" s="30"/>
    </row>
    <row r="12" spans="1:10" x14ac:dyDescent="0.25">
      <c r="F12" s="30"/>
      <c r="G12" s="30"/>
      <c r="H12" s="30"/>
    </row>
    <row r="13" spans="1:10" x14ac:dyDescent="0.25">
      <c r="F13" s="30"/>
      <c r="G13" s="30"/>
      <c r="H13" s="30"/>
    </row>
    <row r="14" spans="1:10" x14ac:dyDescent="0.25">
      <c r="F14" s="30"/>
      <c r="G14" s="30"/>
      <c r="H14" s="30"/>
    </row>
    <row r="15" spans="1:10" x14ac:dyDescent="0.25">
      <c r="F15" s="30"/>
      <c r="G15" s="30"/>
      <c r="H15" s="30"/>
    </row>
    <row r="16" spans="1:10" x14ac:dyDescent="0.25">
      <c r="F16" s="30"/>
      <c r="G16" s="30"/>
      <c r="H16" s="30"/>
    </row>
    <row r="17" spans="6:8" x14ac:dyDescent="0.25">
      <c r="F17" s="30"/>
      <c r="G17" s="30"/>
      <c r="H17" s="30"/>
    </row>
    <row r="18" spans="6:8" x14ac:dyDescent="0.25">
      <c r="F18" s="30"/>
      <c r="G18" s="30"/>
      <c r="H18" s="30"/>
    </row>
    <row r="19" spans="6:8" x14ac:dyDescent="0.25">
      <c r="F19" s="30"/>
      <c r="G19" s="30"/>
      <c r="H19" s="30"/>
    </row>
    <row r="20" spans="6:8" x14ac:dyDescent="0.25">
      <c r="F20" s="30"/>
      <c r="G20" s="30"/>
      <c r="H20" s="30"/>
    </row>
    <row r="21" spans="6:8" x14ac:dyDescent="0.25">
      <c r="F21" s="30"/>
      <c r="G21" s="30"/>
      <c r="H21" s="30"/>
    </row>
    <row r="22" spans="6:8" x14ac:dyDescent="0.25">
      <c r="F22" s="30"/>
      <c r="G22" s="30"/>
      <c r="H22" s="30"/>
    </row>
    <row r="23" spans="6:8" x14ac:dyDescent="0.25">
      <c r="F23" s="30"/>
      <c r="G23" s="30"/>
      <c r="H23" s="30"/>
    </row>
    <row r="24" spans="6:8" x14ac:dyDescent="0.25">
      <c r="F24" s="30"/>
      <c r="G24" s="30"/>
      <c r="H24" s="30"/>
    </row>
    <row r="25" spans="6:8" x14ac:dyDescent="0.25">
      <c r="F25" s="30"/>
      <c r="G25" s="30"/>
      <c r="H25" s="30"/>
    </row>
    <row r="26" spans="6:8" x14ac:dyDescent="0.25">
      <c r="F26" s="30"/>
      <c r="G26" s="30"/>
      <c r="H26" s="30"/>
    </row>
    <row r="27" spans="6:8" x14ac:dyDescent="0.25">
      <c r="F27" s="30"/>
      <c r="G27" s="30"/>
      <c r="H27" s="30"/>
    </row>
    <row r="28" spans="6:8" x14ac:dyDescent="0.25">
      <c r="F28" s="30"/>
      <c r="G28" s="30"/>
      <c r="H28" s="30"/>
    </row>
    <row r="29" spans="6:8" x14ac:dyDescent="0.25">
      <c r="F29" s="30"/>
      <c r="G29" s="30"/>
      <c r="H29" s="30"/>
    </row>
    <row r="30" spans="6:8" x14ac:dyDescent="0.25">
      <c r="F30" s="30"/>
      <c r="G30" s="30"/>
      <c r="H30" s="30"/>
    </row>
    <row r="31" spans="6:8" x14ac:dyDescent="0.25">
      <c r="F31" s="30"/>
      <c r="G31" s="30"/>
      <c r="H31" s="30"/>
    </row>
    <row r="32" spans="6:8" x14ac:dyDescent="0.25">
      <c r="F32" s="30"/>
      <c r="G32" s="30"/>
      <c r="H32" s="30"/>
    </row>
    <row r="33" spans="6:8" x14ac:dyDescent="0.25">
      <c r="F33" s="30"/>
      <c r="G33" s="30"/>
      <c r="H33" s="30"/>
    </row>
    <row r="34" spans="6:8" x14ac:dyDescent="0.25">
      <c r="F34" s="30"/>
      <c r="G34" s="30"/>
      <c r="H34" s="30"/>
    </row>
    <row r="35" spans="6:8" x14ac:dyDescent="0.25">
      <c r="F35" s="30"/>
      <c r="G35" s="30"/>
      <c r="H35" s="30"/>
    </row>
    <row r="36" spans="6:8" x14ac:dyDescent="0.25">
      <c r="F36" s="30"/>
      <c r="G36" s="30"/>
      <c r="H36" s="30"/>
    </row>
    <row r="37" spans="6:8" x14ac:dyDescent="0.25">
      <c r="F37" s="30"/>
      <c r="G37" s="30"/>
      <c r="H37" s="30"/>
    </row>
    <row r="38" spans="6:8" x14ac:dyDescent="0.25">
      <c r="F38" s="30"/>
      <c r="G38" s="30"/>
      <c r="H38" s="30"/>
    </row>
    <row r="39" spans="6:8" x14ac:dyDescent="0.25">
      <c r="F39" s="30"/>
      <c r="G39" s="30"/>
      <c r="H39" s="30"/>
    </row>
    <row r="40" spans="6:8" x14ac:dyDescent="0.25">
      <c r="F40" s="30"/>
      <c r="G40" s="30"/>
      <c r="H40" s="30"/>
    </row>
    <row r="41" spans="6:8" x14ac:dyDescent="0.25">
      <c r="F41" s="30"/>
      <c r="G41" s="30"/>
      <c r="H41" s="30"/>
    </row>
    <row r="42" spans="6:8" x14ac:dyDescent="0.25">
      <c r="F42" s="30"/>
      <c r="G42" s="30"/>
      <c r="H42" s="30"/>
    </row>
    <row r="43" spans="6:8" x14ac:dyDescent="0.25">
      <c r="F43" s="30"/>
      <c r="G43" s="30"/>
      <c r="H43" s="30"/>
    </row>
    <row r="44" spans="6:8" x14ac:dyDescent="0.25">
      <c r="F44" s="30"/>
      <c r="G44" s="30"/>
      <c r="H44" s="30"/>
    </row>
    <row r="45" spans="6:8" x14ac:dyDescent="0.25">
      <c r="F45" s="30"/>
      <c r="G45" s="30"/>
      <c r="H45" s="30"/>
    </row>
    <row r="46" spans="6:8" x14ac:dyDescent="0.25">
      <c r="F46" s="30"/>
      <c r="G46" s="30"/>
      <c r="H46" s="30"/>
    </row>
    <row r="47" spans="6:8" x14ac:dyDescent="0.25">
      <c r="F47" s="30"/>
      <c r="G47" s="30"/>
      <c r="H47" s="30"/>
    </row>
    <row r="48" spans="6:8" x14ac:dyDescent="0.25">
      <c r="F48" s="30"/>
      <c r="G48" s="30"/>
      <c r="H48" s="30"/>
    </row>
    <row r="49" spans="6:8" x14ac:dyDescent="0.25">
      <c r="F49" s="30"/>
      <c r="G49" s="30"/>
      <c r="H49" s="30"/>
    </row>
    <row r="50" spans="6:8" x14ac:dyDescent="0.25">
      <c r="F50" s="30"/>
      <c r="G50" s="30"/>
      <c r="H50" s="30"/>
    </row>
    <row r="51" spans="6:8" x14ac:dyDescent="0.25">
      <c r="F51" s="30"/>
      <c r="G51" s="30"/>
      <c r="H51" s="30"/>
    </row>
    <row r="52" spans="6:8" x14ac:dyDescent="0.25">
      <c r="F52" s="30"/>
      <c r="G52" s="30"/>
      <c r="H52" s="30"/>
    </row>
    <row r="53" spans="6:8" x14ac:dyDescent="0.25">
      <c r="F53" s="30"/>
      <c r="G53" s="30"/>
      <c r="H53" s="30"/>
    </row>
    <row r="54" spans="6:8" x14ac:dyDescent="0.25">
      <c r="F54" s="30"/>
      <c r="G54" s="30"/>
      <c r="H54" s="30"/>
    </row>
    <row r="55" spans="6:8" x14ac:dyDescent="0.25">
      <c r="F55" s="30"/>
      <c r="G55" s="30"/>
      <c r="H55" s="30"/>
    </row>
    <row r="56" spans="6:8" x14ac:dyDescent="0.25">
      <c r="F56" s="30"/>
      <c r="G56" s="30"/>
      <c r="H56" s="30"/>
    </row>
    <row r="57" spans="6:8" x14ac:dyDescent="0.25">
      <c r="F57" s="30"/>
      <c r="G57" s="30"/>
      <c r="H57" s="30"/>
    </row>
    <row r="58" spans="6:8" x14ac:dyDescent="0.25">
      <c r="F58" s="30"/>
      <c r="G58" s="30"/>
      <c r="H58" s="30"/>
    </row>
    <row r="59" spans="6:8" x14ac:dyDescent="0.25">
      <c r="F59" s="30"/>
      <c r="G59" s="30"/>
      <c r="H59" s="30"/>
    </row>
    <row r="60" spans="6:8" x14ac:dyDescent="0.25">
      <c r="F60" s="30"/>
      <c r="G60" s="30"/>
      <c r="H60" s="30"/>
    </row>
    <row r="61" spans="6:8" x14ac:dyDescent="0.25">
      <c r="F61" s="30"/>
      <c r="G61" s="30"/>
      <c r="H61" s="30"/>
    </row>
    <row r="62" spans="6:8" x14ac:dyDescent="0.25">
      <c r="F62" s="30"/>
      <c r="G62" s="30"/>
      <c r="H62" s="30"/>
    </row>
    <row r="63" spans="6:8" x14ac:dyDescent="0.25">
      <c r="F63" s="30"/>
      <c r="G63" s="30"/>
      <c r="H63" s="30"/>
    </row>
    <row r="64" spans="6:8" x14ac:dyDescent="0.25">
      <c r="F64" s="30"/>
      <c r="G64" s="30"/>
      <c r="H64" s="30"/>
    </row>
    <row r="65" spans="6:8" x14ac:dyDescent="0.25">
      <c r="F65" s="30"/>
      <c r="G65" s="30"/>
      <c r="H65" s="30"/>
    </row>
    <row r="66" spans="6:8" x14ac:dyDescent="0.25">
      <c r="F66" s="30"/>
      <c r="G66" s="30"/>
      <c r="H66" s="30"/>
    </row>
    <row r="67" spans="6:8" x14ac:dyDescent="0.25">
      <c r="F67" s="30"/>
      <c r="G67" s="30"/>
      <c r="H67" s="30"/>
    </row>
    <row r="68" spans="6:8" x14ac:dyDescent="0.25">
      <c r="F68" s="30"/>
      <c r="G68" s="30"/>
      <c r="H68" s="30"/>
    </row>
    <row r="69" spans="6:8" x14ac:dyDescent="0.25">
      <c r="F69" s="30"/>
      <c r="G69" s="30"/>
      <c r="H69" s="30"/>
    </row>
    <row r="70" spans="6:8" x14ac:dyDescent="0.25">
      <c r="F70" s="30"/>
      <c r="G70" s="30"/>
      <c r="H70" s="30"/>
    </row>
    <row r="71" spans="6:8" x14ac:dyDescent="0.25">
      <c r="F71" s="30"/>
      <c r="G71" s="30"/>
      <c r="H71" s="30"/>
    </row>
    <row r="72" spans="6:8" x14ac:dyDescent="0.25">
      <c r="F72" s="30"/>
      <c r="G72" s="30"/>
      <c r="H72" s="30"/>
    </row>
    <row r="73" spans="6:8" x14ac:dyDescent="0.25">
      <c r="F73" s="30"/>
      <c r="G73" s="30"/>
      <c r="H73" s="30"/>
    </row>
    <row r="74" spans="6:8" x14ac:dyDescent="0.25">
      <c r="F74" s="30"/>
      <c r="G74" s="30"/>
      <c r="H74" s="30"/>
    </row>
    <row r="75" spans="6:8" x14ac:dyDescent="0.25">
      <c r="F75" s="30"/>
      <c r="G75" s="30"/>
      <c r="H75" s="30"/>
    </row>
    <row r="76" spans="6:8" x14ac:dyDescent="0.25">
      <c r="F76" s="30"/>
      <c r="G76" s="30"/>
      <c r="H76" s="30"/>
    </row>
    <row r="77" spans="6:8" x14ac:dyDescent="0.25">
      <c r="F77" s="30"/>
      <c r="G77" s="30"/>
      <c r="H77" s="30"/>
    </row>
    <row r="78" spans="6:8" x14ac:dyDescent="0.25">
      <c r="F78" s="30"/>
      <c r="G78" s="30"/>
      <c r="H78" s="30"/>
    </row>
    <row r="79" spans="6:8" x14ac:dyDescent="0.25">
      <c r="F79" s="30"/>
      <c r="G79" s="30"/>
      <c r="H79" s="30"/>
    </row>
    <row r="80" spans="6:8" x14ac:dyDescent="0.25">
      <c r="F80" s="30"/>
      <c r="G80" s="30"/>
      <c r="H80" s="30"/>
    </row>
    <row r="81" spans="6:8" x14ac:dyDescent="0.25">
      <c r="F81" s="30"/>
      <c r="G81" s="30"/>
      <c r="H81" s="30"/>
    </row>
    <row r="82" spans="6:8" x14ac:dyDescent="0.25">
      <c r="F82" s="30"/>
      <c r="G82" s="30"/>
      <c r="H82" s="30"/>
    </row>
    <row r="83" spans="6:8" x14ac:dyDescent="0.25">
      <c r="F83" s="30"/>
      <c r="G83" s="30"/>
      <c r="H83" s="30"/>
    </row>
    <row r="84" spans="6:8" x14ac:dyDescent="0.25">
      <c r="F84" s="30"/>
      <c r="G84" s="30"/>
      <c r="H84" s="30"/>
    </row>
    <row r="85" spans="6:8" x14ac:dyDescent="0.25">
      <c r="F85" s="30"/>
      <c r="G85" s="30"/>
      <c r="H85" s="30"/>
    </row>
    <row r="86" spans="6:8" x14ac:dyDescent="0.25">
      <c r="F86" s="30"/>
      <c r="G86" s="30"/>
      <c r="H86" s="30"/>
    </row>
    <row r="87" spans="6:8" x14ac:dyDescent="0.25">
      <c r="F87" s="30"/>
      <c r="G87" s="30"/>
      <c r="H87" s="30"/>
    </row>
    <row r="88" spans="6:8" x14ac:dyDescent="0.25">
      <c r="F88" s="30"/>
      <c r="G88" s="30"/>
      <c r="H88" s="30"/>
    </row>
    <row r="89" spans="6:8" x14ac:dyDescent="0.25">
      <c r="F89" s="30"/>
      <c r="G89" s="30"/>
      <c r="H89" s="30"/>
    </row>
    <row r="90" spans="6:8" x14ac:dyDescent="0.25">
      <c r="F90" s="30"/>
      <c r="G90" s="30"/>
      <c r="H90" s="30"/>
    </row>
    <row r="91" spans="6:8" x14ac:dyDescent="0.25">
      <c r="F91" s="30"/>
      <c r="G91" s="30"/>
      <c r="H91" s="30"/>
    </row>
    <row r="92" spans="6:8" x14ac:dyDescent="0.25">
      <c r="F92" s="30"/>
      <c r="G92" s="30"/>
      <c r="H92" s="30"/>
    </row>
    <row r="93" spans="6:8" x14ac:dyDescent="0.25">
      <c r="F93" s="30"/>
      <c r="G93" s="30"/>
      <c r="H93" s="30"/>
    </row>
    <row r="94" spans="6:8" x14ac:dyDescent="0.25">
      <c r="F94" s="30"/>
      <c r="G94" s="30"/>
      <c r="H94" s="30"/>
    </row>
    <row r="95" spans="6:8" x14ac:dyDescent="0.25">
      <c r="F95" s="30"/>
      <c r="G95" s="30"/>
      <c r="H95" s="30"/>
    </row>
    <row r="96" spans="6:8" x14ac:dyDescent="0.25">
      <c r="F96" s="30"/>
      <c r="G96" s="30"/>
      <c r="H96" s="30"/>
    </row>
    <row r="97" spans="6:8" x14ac:dyDescent="0.25">
      <c r="F97" s="30"/>
      <c r="G97" s="30"/>
      <c r="H97" s="30"/>
    </row>
    <row r="98" spans="6:8" x14ac:dyDescent="0.25">
      <c r="F98" s="30"/>
      <c r="G98" s="30"/>
      <c r="H98" s="30"/>
    </row>
    <row r="99" spans="6:8" x14ac:dyDescent="0.25">
      <c r="F99" s="30"/>
      <c r="G99" s="30"/>
      <c r="H99" s="30"/>
    </row>
    <row r="100" spans="6:8" x14ac:dyDescent="0.25">
      <c r="F100" s="30"/>
      <c r="G100" s="30"/>
      <c r="H100" s="30"/>
    </row>
    <row r="101" spans="6:8" x14ac:dyDescent="0.25">
      <c r="F101" s="30"/>
      <c r="G101" s="30"/>
      <c r="H101" s="30"/>
    </row>
    <row r="102" spans="6:8" x14ac:dyDescent="0.25">
      <c r="F102" s="30"/>
      <c r="G102" s="30"/>
      <c r="H102" s="30"/>
    </row>
    <row r="103" spans="6:8" x14ac:dyDescent="0.25">
      <c r="F103" s="30"/>
      <c r="G103" s="30"/>
      <c r="H103" s="30"/>
    </row>
    <row r="104" spans="6:8" x14ac:dyDescent="0.25">
      <c r="F104" s="30"/>
      <c r="G104" s="30"/>
      <c r="H104" s="30"/>
    </row>
    <row r="105" spans="6:8" x14ac:dyDescent="0.25">
      <c r="F105" s="30"/>
      <c r="G105" s="30"/>
      <c r="H105" s="30"/>
    </row>
    <row r="106" spans="6:8" x14ac:dyDescent="0.25">
      <c r="F106" s="30"/>
      <c r="G106" s="30"/>
      <c r="H106" s="30"/>
    </row>
    <row r="107" spans="6:8" x14ac:dyDescent="0.25">
      <c r="F107" s="30"/>
      <c r="G107" s="30"/>
      <c r="H107" s="30"/>
    </row>
    <row r="108" spans="6:8" x14ac:dyDescent="0.25">
      <c r="F108" s="30"/>
      <c r="G108" s="30"/>
      <c r="H108" s="30"/>
    </row>
    <row r="109" spans="6:8" x14ac:dyDescent="0.25">
      <c r="F109" s="30"/>
      <c r="G109" s="30"/>
      <c r="H109" s="30"/>
    </row>
    <row r="110" spans="6:8" x14ac:dyDescent="0.25">
      <c r="F110" s="30"/>
      <c r="G110" s="30"/>
      <c r="H110" s="30"/>
    </row>
    <row r="111" spans="6:8" x14ac:dyDescent="0.25">
      <c r="F111" s="30"/>
      <c r="G111" s="30"/>
      <c r="H111" s="30"/>
    </row>
    <row r="112" spans="6:8" x14ac:dyDescent="0.25">
      <c r="F112" s="30"/>
      <c r="G112" s="30"/>
      <c r="H112" s="30"/>
    </row>
    <row r="113" spans="6:8" x14ac:dyDescent="0.25">
      <c r="F113" s="30"/>
      <c r="G113" s="30"/>
      <c r="H113" s="30"/>
    </row>
    <row r="114" spans="6:8" x14ac:dyDescent="0.25">
      <c r="F114" s="30"/>
      <c r="G114" s="30"/>
      <c r="H114" s="30"/>
    </row>
    <row r="115" spans="6:8" x14ac:dyDescent="0.25">
      <c r="F115" s="30"/>
      <c r="G115" s="30"/>
      <c r="H115" s="30"/>
    </row>
    <row r="116" spans="6:8" x14ac:dyDescent="0.25">
      <c r="F116" s="30"/>
      <c r="G116" s="30"/>
      <c r="H116" s="30"/>
    </row>
    <row r="117" spans="6:8" x14ac:dyDescent="0.25">
      <c r="F117" s="30"/>
      <c r="G117" s="30"/>
      <c r="H117" s="30"/>
    </row>
    <row r="118" spans="6:8" x14ac:dyDescent="0.25">
      <c r="F118" s="30"/>
      <c r="G118" s="30"/>
      <c r="H118" s="30"/>
    </row>
    <row r="119" spans="6:8" x14ac:dyDescent="0.25">
      <c r="F119" s="30"/>
      <c r="G119" s="30"/>
      <c r="H119" s="30"/>
    </row>
    <row r="120" spans="6:8" x14ac:dyDescent="0.25">
      <c r="F120" s="30"/>
      <c r="G120" s="30"/>
      <c r="H120" s="30"/>
    </row>
    <row r="121" spans="6:8" x14ac:dyDescent="0.25">
      <c r="F121" s="30"/>
      <c r="G121" s="30"/>
      <c r="H121" s="30"/>
    </row>
    <row r="122" spans="6:8" x14ac:dyDescent="0.25">
      <c r="F122" s="30"/>
      <c r="G122" s="30"/>
      <c r="H122" s="30"/>
    </row>
    <row r="123" spans="6:8" x14ac:dyDescent="0.25">
      <c r="F123" s="30"/>
      <c r="G123" s="30"/>
      <c r="H123" s="30"/>
    </row>
    <row r="124" spans="6:8" x14ac:dyDescent="0.25">
      <c r="F124" s="30"/>
      <c r="G124" s="30"/>
      <c r="H124" s="30"/>
    </row>
    <row r="125" spans="6:8" x14ac:dyDescent="0.25">
      <c r="F125" s="30"/>
      <c r="G125" s="30"/>
      <c r="H125" s="30"/>
    </row>
    <row r="126" spans="6:8" x14ac:dyDescent="0.25">
      <c r="F126" s="30"/>
      <c r="G126" s="30"/>
      <c r="H126" s="30"/>
    </row>
    <row r="127" spans="6:8" x14ac:dyDescent="0.25">
      <c r="F127" s="30"/>
      <c r="G127" s="30"/>
      <c r="H127" s="30"/>
    </row>
    <row r="128" spans="6:8" x14ac:dyDescent="0.25">
      <c r="F128" s="30"/>
      <c r="G128" s="30"/>
      <c r="H128" s="30"/>
    </row>
    <row r="129" spans="6:8" x14ac:dyDescent="0.25">
      <c r="F129" s="30"/>
      <c r="G129" s="30"/>
      <c r="H129" s="30"/>
    </row>
    <row r="130" spans="6:8" x14ac:dyDescent="0.25">
      <c r="F130" s="30"/>
      <c r="G130" s="30"/>
      <c r="H130" s="30"/>
    </row>
    <row r="131" spans="6:8" x14ac:dyDescent="0.25">
      <c r="F131" s="30"/>
      <c r="G131" s="30"/>
      <c r="H131" s="30"/>
    </row>
    <row r="132" spans="6:8" x14ac:dyDescent="0.25">
      <c r="F132" s="30"/>
      <c r="G132" s="30"/>
      <c r="H132" s="30"/>
    </row>
    <row r="133" spans="6:8" x14ac:dyDescent="0.25">
      <c r="F133" s="30"/>
      <c r="G133" s="30"/>
      <c r="H133" s="30"/>
    </row>
    <row r="134" spans="6:8" x14ac:dyDescent="0.25">
      <c r="F134" s="30"/>
      <c r="G134" s="30"/>
      <c r="H134" s="30"/>
    </row>
    <row r="135" spans="6:8" x14ac:dyDescent="0.25">
      <c r="F135" s="30"/>
      <c r="G135" s="30"/>
      <c r="H135" s="30"/>
    </row>
    <row r="136" spans="6:8" x14ac:dyDescent="0.25">
      <c r="F136" s="30"/>
      <c r="G136" s="30"/>
      <c r="H136" s="30"/>
    </row>
    <row r="137" spans="6:8" x14ac:dyDescent="0.25">
      <c r="F137" s="30"/>
      <c r="G137" s="30"/>
      <c r="H137" s="30"/>
    </row>
    <row r="138" spans="6:8" x14ac:dyDescent="0.25">
      <c r="F138" s="30"/>
      <c r="G138" s="30"/>
      <c r="H138" s="30"/>
    </row>
    <row r="139" spans="6:8" x14ac:dyDescent="0.25">
      <c r="F139" s="30"/>
      <c r="G139" s="30"/>
      <c r="H139" s="30"/>
    </row>
    <row r="140" spans="6:8" x14ac:dyDescent="0.25">
      <c r="F140" s="30"/>
      <c r="G140" s="30"/>
      <c r="H140" s="30"/>
    </row>
    <row r="141" spans="6:8" x14ac:dyDescent="0.25">
      <c r="F141" s="30"/>
      <c r="G141" s="30"/>
      <c r="H141" s="30"/>
    </row>
    <row r="142" spans="6:8" x14ac:dyDescent="0.25">
      <c r="F142" s="30"/>
      <c r="G142" s="30"/>
      <c r="H142" s="30"/>
    </row>
    <row r="143" spans="6:8" x14ac:dyDescent="0.25">
      <c r="F143" s="30"/>
      <c r="G143" s="30"/>
      <c r="H143" s="30"/>
    </row>
    <row r="144" spans="6:8" x14ac:dyDescent="0.25">
      <c r="F144" s="30"/>
      <c r="G144" s="30"/>
      <c r="H144" s="30"/>
    </row>
    <row r="145" spans="6:8" x14ac:dyDescent="0.25">
      <c r="F145" s="30"/>
      <c r="G145" s="30"/>
      <c r="H145" s="30"/>
    </row>
    <row r="146" spans="6:8" x14ac:dyDescent="0.25">
      <c r="F146" s="30"/>
      <c r="G146" s="30"/>
      <c r="H146" s="30"/>
    </row>
    <row r="147" spans="6:8" x14ac:dyDescent="0.25">
      <c r="F147" s="30"/>
      <c r="G147" s="30"/>
      <c r="H147" s="30"/>
    </row>
    <row r="148" spans="6:8" x14ac:dyDescent="0.25">
      <c r="F148" s="30"/>
      <c r="G148" s="30"/>
      <c r="H148" s="30"/>
    </row>
    <row r="149" spans="6:8" x14ac:dyDescent="0.25">
      <c r="F149" s="30"/>
      <c r="G149" s="30"/>
      <c r="H149" s="30"/>
    </row>
    <row r="150" spans="6:8" x14ac:dyDescent="0.25">
      <c r="F150" s="30"/>
      <c r="G150" s="30"/>
      <c r="H150" s="30"/>
    </row>
    <row r="151" spans="6:8" x14ac:dyDescent="0.25">
      <c r="F151" s="30"/>
      <c r="G151" s="30"/>
      <c r="H151" s="30"/>
    </row>
    <row r="152" spans="6:8" x14ac:dyDescent="0.25">
      <c r="F152" s="30"/>
      <c r="G152" s="30"/>
      <c r="H152" s="30"/>
    </row>
    <row r="153" spans="6:8" x14ac:dyDescent="0.25">
      <c r="F153" s="30"/>
      <c r="G153" s="30"/>
      <c r="H153" s="30"/>
    </row>
    <row r="154" spans="6:8" x14ac:dyDescent="0.25">
      <c r="F154" s="30"/>
      <c r="G154" s="30"/>
      <c r="H154" s="30"/>
    </row>
    <row r="155" spans="6:8" x14ac:dyDescent="0.25">
      <c r="F155" s="30"/>
      <c r="G155" s="30"/>
      <c r="H155" s="30"/>
    </row>
    <row r="156" spans="6:8" x14ac:dyDescent="0.25">
      <c r="F156" s="30"/>
      <c r="G156" s="30"/>
      <c r="H156" s="30"/>
    </row>
    <row r="157" spans="6:8" x14ac:dyDescent="0.25">
      <c r="F157" s="30"/>
      <c r="G157" s="30"/>
      <c r="H157" s="30"/>
    </row>
    <row r="158" spans="6:8" x14ac:dyDescent="0.25">
      <c r="F158" s="30"/>
      <c r="G158" s="30"/>
      <c r="H158" s="30"/>
    </row>
    <row r="159" spans="6:8" x14ac:dyDescent="0.25">
      <c r="F159" s="30"/>
      <c r="G159" s="30"/>
      <c r="H159" s="30"/>
    </row>
    <row r="160" spans="6:8" x14ac:dyDescent="0.25">
      <c r="F160" s="30"/>
      <c r="G160" s="30"/>
      <c r="H160" s="30"/>
    </row>
    <row r="161" spans="6:8" x14ac:dyDescent="0.25">
      <c r="F161" s="30"/>
      <c r="G161" s="30"/>
      <c r="H161" s="30"/>
    </row>
    <row r="162" spans="6:8" x14ac:dyDescent="0.25">
      <c r="F162" s="30"/>
      <c r="G162" s="30"/>
      <c r="H162" s="30"/>
    </row>
    <row r="163" spans="6:8" x14ac:dyDescent="0.25">
      <c r="F163" s="30"/>
      <c r="G163" s="30"/>
      <c r="H163" s="30"/>
    </row>
    <row r="164" spans="6:8" x14ac:dyDescent="0.25">
      <c r="F164" s="30"/>
      <c r="G164" s="30"/>
      <c r="H164" s="30"/>
    </row>
    <row r="165" spans="6:8" x14ac:dyDescent="0.25">
      <c r="F165" s="30"/>
      <c r="G165" s="30"/>
      <c r="H165" s="30"/>
    </row>
    <row r="166" spans="6:8" x14ac:dyDescent="0.25">
      <c r="F166" s="30"/>
      <c r="G166" s="30"/>
      <c r="H166" s="30"/>
    </row>
    <row r="167" spans="6:8" x14ac:dyDescent="0.25">
      <c r="F167" s="30"/>
      <c r="G167" s="30"/>
      <c r="H167" s="30"/>
    </row>
    <row r="168" spans="6:8" x14ac:dyDescent="0.25">
      <c r="F168" s="30"/>
      <c r="G168" s="30"/>
      <c r="H168" s="30"/>
    </row>
    <row r="169" spans="6:8" x14ac:dyDescent="0.25">
      <c r="F169" s="30"/>
      <c r="G169" s="30"/>
      <c r="H169" s="30"/>
    </row>
    <row r="170" spans="6:8" x14ac:dyDescent="0.25">
      <c r="F170" s="30"/>
      <c r="G170" s="30"/>
      <c r="H170" s="30"/>
    </row>
    <row r="171" spans="6:8" x14ac:dyDescent="0.25">
      <c r="F171" s="30"/>
      <c r="G171" s="30"/>
      <c r="H171" s="30"/>
    </row>
    <row r="172" spans="6:8" x14ac:dyDescent="0.25">
      <c r="F172" s="30"/>
      <c r="G172" s="30"/>
      <c r="H172" s="30"/>
    </row>
    <row r="173" spans="6:8" x14ac:dyDescent="0.25">
      <c r="F173" s="30"/>
      <c r="G173" s="30"/>
      <c r="H173" s="30"/>
    </row>
    <row r="174" spans="6:8" x14ac:dyDescent="0.25">
      <c r="F174" s="30"/>
      <c r="G174" s="30"/>
      <c r="H174" s="30"/>
    </row>
    <row r="175" spans="6:8" x14ac:dyDescent="0.25">
      <c r="F175" s="30"/>
      <c r="G175" s="30"/>
      <c r="H175" s="30"/>
    </row>
    <row r="176" spans="6:8" x14ac:dyDescent="0.25">
      <c r="F176" s="30"/>
      <c r="G176" s="30"/>
      <c r="H176" s="30"/>
    </row>
    <row r="177" spans="6:8" x14ac:dyDescent="0.25">
      <c r="F177" s="30"/>
      <c r="G177" s="30"/>
      <c r="H177" s="30"/>
    </row>
    <row r="178" spans="6:8" x14ac:dyDescent="0.25">
      <c r="F178" s="30"/>
      <c r="G178" s="30"/>
      <c r="H178" s="30"/>
    </row>
    <row r="179" spans="6:8" x14ac:dyDescent="0.25">
      <c r="F179" s="30"/>
      <c r="G179" s="30"/>
      <c r="H179" s="30"/>
    </row>
    <row r="180" spans="6:8" x14ac:dyDescent="0.25">
      <c r="F180" s="30"/>
      <c r="G180" s="30"/>
      <c r="H180" s="30"/>
    </row>
    <row r="181" spans="6:8" x14ac:dyDescent="0.25">
      <c r="F181" s="30"/>
      <c r="G181" s="30"/>
      <c r="H181" s="30"/>
    </row>
    <row r="182" spans="6:8" x14ac:dyDescent="0.25">
      <c r="F182" s="30"/>
      <c r="G182" s="30"/>
      <c r="H182" s="30"/>
    </row>
    <row r="183" spans="6:8" x14ac:dyDescent="0.25">
      <c r="F183" s="30"/>
      <c r="G183" s="30"/>
      <c r="H183" s="30"/>
    </row>
    <row r="184" spans="6:8" x14ac:dyDescent="0.25">
      <c r="F184" s="30"/>
      <c r="G184" s="30"/>
      <c r="H184" s="30"/>
    </row>
    <row r="185" spans="6:8" x14ac:dyDescent="0.25">
      <c r="F185" s="30"/>
      <c r="G185" s="30"/>
      <c r="H185" s="30"/>
    </row>
    <row r="186" spans="6:8" x14ac:dyDescent="0.25">
      <c r="F186" s="30"/>
      <c r="G186" s="30"/>
      <c r="H186" s="30"/>
    </row>
    <row r="187" spans="6:8" x14ac:dyDescent="0.25">
      <c r="F187" s="30"/>
      <c r="G187" s="30"/>
      <c r="H187" s="30"/>
    </row>
    <row r="188" spans="6:8" x14ac:dyDescent="0.25">
      <c r="F188" s="30"/>
      <c r="G188" s="30"/>
      <c r="H188" s="30"/>
    </row>
    <row r="189" spans="6:8" x14ac:dyDescent="0.25">
      <c r="F189" s="30"/>
      <c r="G189" s="30"/>
      <c r="H189" s="30"/>
    </row>
    <row r="190" spans="6:8" x14ac:dyDescent="0.25">
      <c r="F190" s="30"/>
      <c r="G190" s="30"/>
      <c r="H190" s="30"/>
    </row>
    <row r="191" spans="6:8" x14ac:dyDescent="0.25">
      <c r="F191" s="30"/>
      <c r="G191" s="30"/>
      <c r="H191" s="30"/>
    </row>
    <row r="192" spans="6:8" x14ac:dyDescent="0.25">
      <c r="F192" s="30"/>
      <c r="G192" s="30"/>
      <c r="H192" s="30"/>
    </row>
    <row r="193" spans="6:8" x14ac:dyDescent="0.25">
      <c r="F193" s="30"/>
      <c r="G193" s="30"/>
      <c r="H193" s="30"/>
    </row>
    <row r="194" spans="6:8" x14ac:dyDescent="0.25">
      <c r="F194" s="30"/>
      <c r="G194" s="30"/>
      <c r="H194" s="30"/>
    </row>
    <row r="195" spans="6:8" x14ac:dyDescent="0.25">
      <c r="F195" s="30"/>
      <c r="G195" s="30"/>
      <c r="H195" s="30"/>
    </row>
    <row r="196" spans="6:8" x14ac:dyDescent="0.25">
      <c r="F196" s="30"/>
      <c r="G196" s="30"/>
      <c r="H196" s="30"/>
    </row>
    <row r="197" spans="6:8" x14ac:dyDescent="0.25">
      <c r="F197" s="30"/>
      <c r="G197" s="30"/>
      <c r="H197" s="30"/>
    </row>
    <row r="198" spans="6:8" x14ac:dyDescent="0.25">
      <c r="F198" s="30"/>
      <c r="G198" s="30"/>
      <c r="H198" s="30"/>
    </row>
    <row r="199" spans="6:8" x14ac:dyDescent="0.25">
      <c r="F199" s="30"/>
      <c r="G199" s="30"/>
      <c r="H199" s="30"/>
    </row>
    <row r="200" spans="6:8" x14ac:dyDescent="0.25">
      <c r="F200" s="30"/>
      <c r="G200" s="30"/>
      <c r="H200" s="30"/>
    </row>
    <row r="201" spans="6:8" x14ac:dyDescent="0.25">
      <c r="F201" s="30"/>
      <c r="G201" s="30"/>
      <c r="H201" s="30"/>
    </row>
    <row r="202" spans="6:8" x14ac:dyDescent="0.25">
      <c r="F202" s="30"/>
      <c r="G202" s="30"/>
      <c r="H202" s="30"/>
    </row>
    <row r="203" spans="6:8" x14ac:dyDescent="0.25">
      <c r="F203" s="30"/>
      <c r="G203" s="30"/>
      <c r="H203" s="30"/>
    </row>
    <row r="204" spans="6:8" x14ac:dyDescent="0.25">
      <c r="F204" s="30"/>
      <c r="G204" s="30"/>
      <c r="H204" s="30"/>
    </row>
    <row r="205" spans="6:8" x14ac:dyDescent="0.25">
      <c r="F205" s="30"/>
      <c r="G205" s="30"/>
      <c r="H205" s="30"/>
    </row>
    <row r="206" spans="6:8" x14ac:dyDescent="0.25">
      <c r="F206" s="30"/>
      <c r="G206" s="30"/>
      <c r="H206" s="30"/>
    </row>
    <row r="207" spans="6:8" x14ac:dyDescent="0.25">
      <c r="F207" s="30"/>
      <c r="G207" s="30"/>
      <c r="H207" s="30"/>
    </row>
    <row r="208" spans="6:8" x14ac:dyDescent="0.25">
      <c r="F208" s="30"/>
      <c r="G208" s="30"/>
      <c r="H208" s="30"/>
    </row>
    <row r="209" spans="6:8" x14ac:dyDescent="0.25">
      <c r="F209" s="30"/>
      <c r="G209" s="30"/>
      <c r="H209" s="30"/>
    </row>
    <row r="210" spans="6:8" x14ac:dyDescent="0.25">
      <c r="F210" s="30"/>
      <c r="G210" s="30"/>
      <c r="H210" s="30"/>
    </row>
    <row r="211" spans="6:8" x14ac:dyDescent="0.25">
      <c r="F211" s="30"/>
      <c r="G211" s="30"/>
      <c r="H211" s="30"/>
    </row>
    <row r="212" spans="6:8" x14ac:dyDescent="0.25">
      <c r="F212" s="30"/>
      <c r="G212" s="30"/>
      <c r="H212" s="30"/>
    </row>
    <row r="213" spans="6:8" x14ac:dyDescent="0.25">
      <c r="F213" s="30"/>
      <c r="G213" s="30"/>
      <c r="H213" s="30"/>
    </row>
    <row r="214" spans="6:8" x14ac:dyDescent="0.25">
      <c r="F214" s="30"/>
      <c r="G214" s="30"/>
      <c r="H214" s="30"/>
    </row>
    <row r="215" spans="6:8" x14ac:dyDescent="0.25">
      <c r="F215" s="30"/>
      <c r="G215" s="30"/>
      <c r="H215" s="30"/>
    </row>
    <row r="216" spans="6:8" x14ac:dyDescent="0.25">
      <c r="F216" s="30"/>
      <c r="G216" s="30"/>
      <c r="H216" s="30"/>
    </row>
    <row r="217" spans="6:8" x14ac:dyDescent="0.25">
      <c r="F217" s="30"/>
      <c r="G217" s="30"/>
      <c r="H217" s="30"/>
    </row>
    <row r="218" spans="6:8" x14ac:dyDescent="0.25">
      <c r="F218" s="30"/>
      <c r="G218" s="30"/>
      <c r="H218" s="30"/>
    </row>
    <row r="219" spans="6:8" x14ac:dyDescent="0.25">
      <c r="F219" s="30"/>
      <c r="G219" s="30"/>
      <c r="H219" s="30"/>
    </row>
    <row r="220" spans="6:8" x14ac:dyDescent="0.25">
      <c r="F220" s="30"/>
      <c r="G220" s="30"/>
      <c r="H220" s="30"/>
    </row>
    <row r="221" spans="6:8" x14ac:dyDescent="0.25">
      <c r="F221" s="30"/>
      <c r="G221" s="30"/>
      <c r="H221" s="30"/>
    </row>
    <row r="222" spans="6:8" x14ac:dyDescent="0.25">
      <c r="F222" s="30"/>
      <c r="G222" s="30"/>
      <c r="H222" s="30"/>
    </row>
    <row r="223" spans="6:8" x14ac:dyDescent="0.25">
      <c r="F223" s="30"/>
      <c r="G223" s="30"/>
      <c r="H223" s="30"/>
    </row>
    <row r="224" spans="6:8" x14ac:dyDescent="0.25">
      <c r="F224" s="30"/>
      <c r="G224" s="30"/>
      <c r="H224" s="30"/>
    </row>
    <row r="225" spans="6:8" x14ac:dyDescent="0.25">
      <c r="F225" s="30"/>
      <c r="G225" s="30"/>
      <c r="H225" s="30"/>
    </row>
    <row r="226" spans="6:8" x14ac:dyDescent="0.25">
      <c r="F226" s="30"/>
      <c r="G226" s="30"/>
      <c r="H226" s="30"/>
    </row>
    <row r="227" spans="6:8" x14ac:dyDescent="0.25">
      <c r="F227" s="30"/>
      <c r="G227" s="30"/>
      <c r="H227" s="30"/>
    </row>
    <row r="228" spans="6:8" x14ac:dyDescent="0.25">
      <c r="F228" s="30"/>
      <c r="G228" s="30"/>
      <c r="H228" s="30"/>
    </row>
    <row r="229" spans="6:8" x14ac:dyDescent="0.25">
      <c r="F229" s="30"/>
      <c r="G229" s="30"/>
      <c r="H229" s="30"/>
    </row>
    <row r="230" spans="6:8" x14ac:dyDescent="0.25">
      <c r="F230" s="30"/>
      <c r="G230" s="30"/>
      <c r="H230" s="30"/>
    </row>
    <row r="231" spans="6:8" x14ac:dyDescent="0.25">
      <c r="F231" s="30"/>
      <c r="G231" s="30"/>
      <c r="H231" s="30"/>
    </row>
    <row r="232" spans="6:8" x14ac:dyDescent="0.25">
      <c r="F232" s="30"/>
      <c r="G232" s="30"/>
      <c r="H232" s="30"/>
    </row>
    <row r="233" spans="6:8" x14ac:dyDescent="0.25">
      <c r="F233" s="30"/>
      <c r="G233" s="30"/>
      <c r="H233" s="30"/>
    </row>
    <row r="234" spans="6:8" x14ac:dyDescent="0.25">
      <c r="F234" s="30"/>
      <c r="G234" s="30"/>
      <c r="H234" s="30"/>
    </row>
    <row r="235" spans="6:8" x14ac:dyDescent="0.25">
      <c r="F235" s="30"/>
      <c r="G235" s="30"/>
      <c r="H235" s="30"/>
    </row>
    <row r="236" spans="6:8" x14ac:dyDescent="0.25">
      <c r="F236" s="30"/>
      <c r="G236" s="30"/>
      <c r="H236" s="30"/>
    </row>
    <row r="237" spans="6:8" x14ac:dyDescent="0.25">
      <c r="F237" s="30"/>
      <c r="G237" s="30"/>
      <c r="H237" s="30"/>
    </row>
    <row r="238" spans="6:8" x14ac:dyDescent="0.25">
      <c r="F238" s="30"/>
      <c r="G238" s="30"/>
      <c r="H238" s="30"/>
    </row>
    <row r="239" spans="6:8" x14ac:dyDescent="0.25">
      <c r="F239" s="30"/>
      <c r="G239" s="30"/>
      <c r="H239" s="30"/>
    </row>
    <row r="240" spans="6:8" x14ac:dyDescent="0.25">
      <c r="F240" s="30"/>
      <c r="G240" s="30"/>
      <c r="H240" s="30"/>
    </row>
    <row r="241" spans="6:8" x14ac:dyDescent="0.25">
      <c r="F241" s="30"/>
      <c r="G241" s="30"/>
      <c r="H241" s="30"/>
    </row>
    <row r="242" spans="6:8" x14ac:dyDescent="0.25">
      <c r="F242" s="30"/>
      <c r="G242" s="30"/>
      <c r="H242" s="30"/>
    </row>
    <row r="243" spans="6:8" x14ac:dyDescent="0.25">
      <c r="F243" s="30"/>
      <c r="G243" s="30"/>
      <c r="H243" s="30"/>
    </row>
    <row r="244" spans="6:8" x14ac:dyDescent="0.25">
      <c r="F244" s="30"/>
      <c r="G244" s="30"/>
      <c r="H244" s="30"/>
    </row>
    <row r="245" spans="6:8" x14ac:dyDescent="0.25">
      <c r="F245" s="30"/>
      <c r="G245" s="30"/>
      <c r="H245" s="30"/>
    </row>
    <row r="246" spans="6:8" x14ac:dyDescent="0.25">
      <c r="F246" s="30"/>
      <c r="G246" s="30"/>
      <c r="H246" s="30"/>
    </row>
    <row r="247" spans="6:8" x14ac:dyDescent="0.25">
      <c r="F247" s="30"/>
      <c r="G247" s="30"/>
      <c r="H247" s="30"/>
    </row>
    <row r="248" spans="6:8" x14ac:dyDescent="0.25">
      <c r="F248" s="30"/>
      <c r="G248" s="30"/>
      <c r="H248" s="30"/>
    </row>
    <row r="249" spans="6:8" x14ac:dyDescent="0.25">
      <c r="F249" s="30"/>
      <c r="G249" s="30"/>
      <c r="H249" s="30"/>
    </row>
    <row r="250" spans="6:8" x14ac:dyDescent="0.25">
      <c r="F250" s="30"/>
      <c r="G250" s="30"/>
      <c r="H250" s="30"/>
    </row>
    <row r="251" spans="6:8" x14ac:dyDescent="0.25">
      <c r="F251" s="30"/>
      <c r="G251" s="30"/>
      <c r="H251" s="30"/>
    </row>
    <row r="252" spans="6:8" x14ac:dyDescent="0.25">
      <c r="F252" s="30"/>
      <c r="G252" s="30"/>
      <c r="H252" s="30"/>
    </row>
    <row r="253" spans="6:8" x14ac:dyDescent="0.25">
      <c r="F253" s="30"/>
      <c r="G253" s="30"/>
      <c r="H253" s="30"/>
    </row>
    <row r="254" spans="6:8" x14ac:dyDescent="0.25">
      <c r="F254" s="30"/>
      <c r="G254" s="30"/>
      <c r="H254" s="30"/>
    </row>
    <row r="255" spans="6:8" x14ac:dyDescent="0.25">
      <c r="F255" s="30"/>
      <c r="G255" s="30"/>
      <c r="H255" s="30"/>
    </row>
    <row r="256" spans="6:8" x14ac:dyDescent="0.25">
      <c r="F256" s="30"/>
      <c r="G256" s="30"/>
      <c r="H256" s="30"/>
    </row>
    <row r="257" spans="6:8" x14ac:dyDescent="0.25">
      <c r="F257" s="30"/>
      <c r="G257" s="30"/>
      <c r="H257" s="30"/>
    </row>
    <row r="258" spans="6:8" x14ac:dyDescent="0.25">
      <c r="F258" s="30"/>
      <c r="G258" s="30"/>
      <c r="H258" s="30"/>
    </row>
    <row r="259" spans="6:8" x14ac:dyDescent="0.25">
      <c r="F259" s="30"/>
      <c r="G259" s="30"/>
      <c r="H259" s="30"/>
    </row>
    <row r="260" spans="6:8" x14ac:dyDescent="0.25">
      <c r="F260" s="30"/>
      <c r="G260" s="30"/>
      <c r="H260" s="30"/>
    </row>
    <row r="261" spans="6:8" x14ac:dyDescent="0.25">
      <c r="F261" s="30"/>
      <c r="G261" s="30"/>
      <c r="H261" s="30"/>
    </row>
    <row r="262" spans="6:8" x14ac:dyDescent="0.25">
      <c r="F262" s="30"/>
      <c r="G262" s="30"/>
      <c r="H262" s="30"/>
    </row>
    <row r="263" spans="6:8" x14ac:dyDescent="0.25">
      <c r="F263" s="30"/>
      <c r="G263" s="30"/>
      <c r="H263" s="30"/>
    </row>
    <row r="264" spans="6:8" x14ac:dyDescent="0.25">
      <c r="F264" s="30"/>
      <c r="G264" s="30"/>
      <c r="H264" s="30"/>
    </row>
    <row r="265" spans="6:8" x14ac:dyDescent="0.25">
      <c r="F265" s="30"/>
      <c r="G265" s="30"/>
      <c r="H265" s="30"/>
    </row>
    <row r="266" spans="6:8" x14ac:dyDescent="0.25">
      <c r="F266" s="30"/>
      <c r="G266" s="30"/>
      <c r="H266" s="30"/>
    </row>
    <row r="267" spans="6:8" x14ac:dyDescent="0.25">
      <c r="F267" s="30"/>
      <c r="G267" s="30"/>
      <c r="H267" s="30"/>
    </row>
    <row r="268" spans="6:8" x14ac:dyDescent="0.25">
      <c r="F268" s="30"/>
      <c r="G268" s="30"/>
      <c r="H268" s="30"/>
    </row>
    <row r="269" spans="6:8" x14ac:dyDescent="0.25">
      <c r="F269" s="30"/>
      <c r="G269" s="30"/>
      <c r="H269" s="30"/>
    </row>
    <row r="270" spans="6:8" x14ac:dyDescent="0.25">
      <c r="F270" s="30"/>
      <c r="G270" s="30"/>
      <c r="H270" s="30"/>
    </row>
    <row r="271" spans="6:8" x14ac:dyDescent="0.25">
      <c r="F271" s="30"/>
      <c r="G271" s="30"/>
      <c r="H271" s="30"/>
    </row>
    <row r="272" spans="6:8" x14ac:dyDescent="0.25">
      <c r="F272" s="30"/>
      <c r="G272" s="30"/>
      <c r="H272" s="30"/>
    </row>
    <row r="273" spans="6:8" x14ac:dyDescent="0.25">
      <c r="F273" s="30"/>
      <c r="G273" s="30"/>
      <c r="H273" s="30"/>
    </row>
    <row r="274" spans="6:8" x14ac:dyDescent="0.25">
      <c r="F274" s="30"/>
      <c r="G274" s="30"/>
      <c r="H274" s="30"/>
    </row>
    <row r="275" spans="6:8" x14ac:dyDescent="0.25">
      <c r="F275" s="30"/>
      <c r="G275" s="30"/>
      <c r="H275" s="30"/>
    </row>
    <row r="276" spans="6:8" x14ac:dyDescent="0.25">
      <c r="F276" s="30"/>
      <c r="G276" s="30"/>
      <c r="H276" s="30"/>
    </row>
    <row r="277" spans="6:8" x14ac:dyDescent="0.25">
      <c r="F277" s="30"/>
      <c r="G277" s="30"/>
      <c r="H277" s="30"/>
    </row>
    <row r="278" spans="6:8" x14ac:dyDescent="0.25">
      <c r="F278" s="30"/>
      <c r="G278" s="30"/>
      <c r="H278" s="30"/>
    </row>
    <row r="279" spans="6:8" x14ac:dyDescent="0.25">
      <c r="F279" s="30"/>
      <c r="G279" s="30"/>
      <c r="H279" s="30"/>
    </row>
    <row r="280" spans="6:8" x14ac:dyDescent="0.25">
      <c r="F280" s="30"/>
      <c r="G280" s="30"/>
      <c r="H280" s="30"/>
    </row>
    <row r="281" spans="6:8" x14ac:dyDescent="0.25">
      <c r="F281" s="30"/>
      <c r="G281" s="30"/>
      <c r="H281" s="30"/>
    </row>
    <row r="282" spans="6:8" x14ac:dyDescent="0.25">
      <c r="F282" s="30"/>
      <c r="G282" s="30"/>
      <c r="H282" s="30"/>
    </row>
    <row r="283" spans="6:8" x14ac:dyDescent="0.25">
      <c r="F283" s="30"/>
      <c r="G283" s="30"/>
      <c r="H283" s="30"/>
    </row>
    <row r="284" spans="6:8" x14ac:dyDescent="0.25">
      <c r="F284" s="30"/>
      <c r="G284" s="30"/>
      <c r="H284" s="30"/>
    </row>
    <row r="285" spans="6:8" x14ac:dyDescent="0.25">
      <c r="F285" s="30"/>
      <c r="G285" s="30"/>
      <c r="H285" s="30"/>
    </row>
    <row r="286" spans="6:8" x14ac:dyDescent="0.25">
      <c r="F286" s="30"/>
      <c r="G286" s="30"/>
      <c r="H286" s="30"/>
    </row>
    <row r="287" spans="6:8" x14ac:dyDescent="0.25">
      <c r="F287" s="30"/>
      <c r="G287" s="30"/>
      <c r="H287" s="30"/>
    </row>
    <row r="288" spans="6:8" x14ac:dyDescent="0.25">
      <c r="F288" s="30"/>
      <c r="G288" s="30"/>
      <c r="H288" s="30"/>
    </row>
    <row r="289" spans="6:8" x14ac:dyDescent="0.25">
      <c r="F289" s="30"/>
      <c r="G289" s="30"/>
      <c r="H289" s="30"/>
    </row>
    <row r="290" spans="6:8" x14ac:dyDescent="0.25">
      <c r="F290" s="30"/>
      <c r="G290" s="30"/>
      <c r="H290" s="30"/>
    </row>
    <row r="291" spans="6:8" x14ac:dyDescent="0.25">
      <c r="F291" s="30"/>
      <c r="G291" s="30"/>
      <c r="H291" s="30"/>
    </row>
    <row r="292" spans="6:8" x14ac:dyDescent="0.25">
      <c r="F292" s="30"/>
      <c r="G292" s="30"/>
      <c r="H292" s="30"/>
    </row>
    <row r="293" spans="6:8" x14ac:dyDescent="0.25">
      <c r="F293" s="30"/>
      <c r="G293" s="30"/>
      <c r="H293" s="30"/>
    </row>
    <row r="294" spans="6:8" x14ac:dyDescent="0.25">
      <c r="F294" s="30"/>
      <c r="G294" s="30"/>
      <c r="H294" s="30"/>
    </row>
    <row r="295" spans="6:8" x14ac:dyDescent="0.25">
      <c r="F295" s="30"/>
      <c r="G295" s="30"/>
      <c r="H295" s="30"/>
    </row>
    <row r="296" spans="6:8" x14ac:dyDescent="0.25">
      <c r="F296" s="30"/>
      <c r="G296" s="30"/>
      <c r="H296" s="30"/>
    </row>
    <row r="297" spans="6:8" x14ac:dyDescent="0.25">
      <c r="F297" s="30"/>
      <c r="G297" s="30"/>
      <c r="H297" s="30"/>
    </row>
    <row r="298" spans="6:8" x14ac:dyDescent="0.25">
      <c r="F298" s="30"/>
      <c r="G298" s="30"/>
      <c r="H298" s="30"/>
    </row>
    <row r="299" spans="6:8" x14ac:dyDescent="0.25">
      <c r="F299" s="30"/>
      <c r="G299" s="30"/>
      <c r="H299" s="30"/>
    </row>
    <row r="300" spans="6:8" x14ac:dyDescent="0.25">
      <c r="F300" s="30"/>
      <c r="G300" s="30"/>
      <c r="H300" s="30"/>
    </row>
    <row r="301" spans="6:8" x14ac:dyDescent="0.25">
      <c r="F301" s="30"/>
      <c r="G301" s="30"/>
      <c r="H301" s="30"/>
    </row>
    <row r="302" spans="6:8" x14ac:dyDescent="0.25">
      <c r="F302" s="30"/>
      <c r="G302" s="30"/>
      <c r="H302" s="30"/>
    </row>
    <row r="303" spans="6:8" x14ac:dyDescent="0.25">
      <c r="F303" s="30"/>
      <c r="G303" s="30"/>
      <c r="H303" s="30"/>
    </row>
    <row r="304" spans="6:8" x14ac:dyDescent="0.25">
      <c r="F304" s="30"/>
      <c r="G304" s="30"/>
      <c r="H304" s="30"/>
    </row>
    <row r="305" spans="6:8" x14ac:dyDescent="0.25">
      <c r="F305" s="30"/>
      <c r="G305" s="30"/>
      <c r="H305" s="30"/>
    </row>
    <row r="306" spans="6:8" x14ac:dyDescent="0.25">
      <c r="F306" s="30"/>
      <c r="G306" s="30"/>
      <c r="H306" s="30"/>
    </row>
    <row r="307" spans="6:8" x14ac:dyDescent="0.25">
      <c r="F307" s="30"/>
      <c r="G307" s="30"/>
      <c r="H307" s="30"/>
    </row>
    <row r="308" spans="6:8" x14ac:dyDescent="0.25">
      <c r="F308" s="30"/>
      <c r="G308" s="30"/>
      <c r="H308" s="30"/>
    </row>
    <row r="309" spans="6:8" x14ac:dyDescent="0.25">
      <c r="F309" s="30"/>
      <c r="G309" s="30"/>
      <c r="H309" s="30"/>
    </row>
    <row r="310" spans="6:8" x14ac:dyDescent="0.25">
      <c r="F310" s="30"/>
      <c r="G310" s="30"/>
      <c r="H310" s="30"/>
    </row>
    <row r="311" spans="6:8" x14ac:dyDescent="0.25">
      <c r="F311" s="30"/>
      <c r="G311" s="30"/>
      <c r="H311" s="30"/>
    </row>
    <row r="312" spans="6:8" x14ac:dyDescent="0.25">
      <c r="F312" s="30"/>
      <c r="G312" s="30"/>
      <c r="H312" s="30"/>
    </row>
    <row r="313" spans="6:8" x14ac:dyDescent="0.25">
      <c r="F313" s="30"/>
      <c r="G313" s="30"/>
      <c r="H313" s="30"/>
    </row>
    <row r="314" spans="6:8" x14ac:dyDescent="0.25">
      <c r="F314" s="30"/>
      <c r="G314" s="30"/>
      <c r="H314" s="30"/>
    </row>
    <row r="315" spans="6:8" x14ac:dyDescent="0.25">
      <c r="F315" s="30"/>
      <c r="G315" s="30"/>
      <c r="H315" s="30"/>
    </row>
    <row r="316" spans="6:8" x14ac:dyDescent="0.25">
      <c r="F316" s="30"/>
      <c r="G316" s="30"/>
      <c r="H316" s="30"/>
    </row>
    <row r="317" spans="6:8" x14ac:dyDescent="0.25">
      <c r="F317" s="30"/>
      <c r="G317" s="30"/>
      <c r="H317" s="30"/>
    </row>
    <row r="318" spans="6:8" x14ac:dyDescent="0.25">
      <c r="F318" s="30"/>
      <c r="G318" s="30"/>
      <c r="H318" s="30"/>
    </row>
    <row r="319" spans="6:8" x14ac:dyDescent="0.25">
      <c r="F319" s="30"/>
      <c r="G319" s="30"/>
      <c r="H319" s="30"/>
    </row>
    <row r="320" spans="6:8" x14ac:dyDescent="0.25">
      <c r="F320" s="30"/>
      <c r="G320" s="30"/>
      <c r="H320" s="30"/>
    </row>
    <row r="321" spans="6:8" x14ac:dyDescent="0.25">
      <c r="F321" s="30"/>
      <c r="G321" s="30"/>
      <c r="H321" s="30"/>
    </row>
    <row r="322" spans="6:8" x14ac:dyDescent="0.25">
      <c r="F322" s="30"/>
      <c r="G322" s="30"/>
      <c r="H322" s="30"/>
    </row>
    <row r="323" spans="6:8" x14ac:dyDescent="0.25">
      <c r="F323" s="30"/>
      <c r="G323" s="30"/>
      <c r="H323" s="30"/>
    </row>
    <row r="324" spans="6:8" x14ac:dyDescent="0.25">
      <c r="F324" s="30"/>
      <c r="G324" s="30"/>
      <c r="H324" s="30"/>
    </row>
    <row r="325" spans="6:8" x14ac:dyDescent="0.25">
      <c r="F325" s="30"/>
      <c r="G325" s="30"/>
      <c r="H325" s="30"/>
    </row>
    <row r="326" spans="6:8" x14ac:dyDescent="0.25">
      <c r="F326" s="30"/>
      <c r="G326" s="30"/>
      <c r="H326" s="30"/>
    </row>
    <row r="327" spans="6:8" x14ac:dyDescent="0.25">
      <c r="F327" s="30"/>
      <c r="G327" s="30"/>
      <c r="H327" s="30"/>
    </row>
    <row r="328" spans="6:8" x14ac:dyDescent="0.25">
      <c r="F328" s="30"/>
      <c r="G328" s="30"/>
      <c r="H328" s="30"/>
    </row>
    <row r="329" spans="6:8" x14ac:dyDescent="0.25">
      <c r="F329" s="30"/>
      <c r="G329" s="30"/>
      <c r="H329" s="30"/>
    </row>
    <row r="330" spans="6:8" x14ac:dyDescent="0.25">
      <c r="F330" s="30"/>
      <c r="G330" s="30"/>
      <c r="H330" s="30"/>
    </row>
    <row r="331" spans="6:8" x14ac:dyDescent="0.25">
      <c r="F331" s="30"/>
      <c r="G331" s="30"/>
      <c r="H331" s="30"/>
    </row>
    <row r="332" spans="6:8" x14ac:dyDescent="0.25">
      <c r="F332" s="30"/>
      <c r="G332" s="30"/>
      <c r="H332" s="30"/>
    </row>
    <row r="333" spans="6:8" x14ac:dyDescent="0.25">
      <c r="F333" s="30"/>
      <c r="G333" s="30"/>
      <c r="H333" s="30"/>
    </row>
    <row r="334" spans="6:8" x14ac:dyDescent="0.25">
      <c r="F334" s="30"/>
      <c r="G334" s="30"/>
      <c r="H334" s="30"/>
    </row>
    <row r="335" spans="6:8" x14ac:dyDescent="0.25">
      <c r="F335" s="30"/>
      <c r="G335" s="30"/>
      <c r="H335" s="30"/>
    </row>
    <row r="336" spans="6:8" x14ac:dyDescent="0.25">
      <c r="F336" s="30"/>
      <c r="G336" s="30"/>
      <c r="H336" s="30"/>
    </row>
    <row r="337" spans="6:8" x14ac:dyDescent="0.25">
      <c r="F337" s="30"/>
      <c r="G337" s="30"/>
      <c r="H337" s="30"/>
    </row>
    <row r="338" spans="6:8" x14ac:dyDescent="0.25">
      <c r="F338" s="30"/>
      <c r="G338" s="30"/>
      <c r="H338" s="30"/>
    </row>
    <row r="339" spans="6:8" x14ac:dyDescent="0.25">
      <c r="F339" s="30"/>
      <c r="G339" s="30"/>
      <c r="H339" s="30"/>
    </row>
    <row r="340" spans="6:8" x14ac:dyDescent="0.25">
      <c r="F340" s="30"/>
      <c r="G340" s="30"/>
      <c r="H340" s="30"/>
    </row>
    <row r="341" spans="6:8" x14ac:dyDescent="0.25">
      <c r="F341" s="30"/>
      <c r="G341" s="30"/>
      <c r="H341" s="30"/>
    </row>
    <row r="342" spans="6:8" x14ac:dyDescent="0.25">
      <c r="F342" s="30"/>
      <c r="G342" s="30"/>
      <c r="H342" s="30"/>
    </row>
    <row r="343" spans="6:8" x14ac:dyDescent="0.25">
      <c r="F343" s="30"/>
      <c r="G343" s="30"/>
      <c r="H343" s="30"/>
    </row>
    <row r="344" spans="6:8" x14ac:dyDescent="0.25">
      <c r="F344" s="30"/>
      <c r="G344" s="30"/>
      <c r="H344" s="30"/>
    </row>
    <row r="345" spans="6:8" x14ac:dyDescent="0.25">
      <c r="F345" s="30"/>
      <c r="G345" s="30"/>
      <c r="H345" s="30"/>
    </row>
    <row r="346" spans="6:8" x14ac:dyDescent="0.25">
      <c r="F346" s="30"/>
      <c r="G346" s="30"/>
      <c r="H346" s="30"/>
    </row>
    <row r="347" spans="6:8" x14ac:dyDescent="0.25">
      <c r="F347" s="30"/>
      <c r="G347" s="30"/>
      <c r="H347" s="30"/>
    </row>
    <row r="348" spans="6:8" x14ac:dyDescent="0.25">
      <c r="F348" s="30"/>
      <c r="G348" s="30"/>
      <c r="H348" s="30"/>
    </row>
    <row r="349" spans="6:8" x14ac:dyDescent="0.25">
      <c r="F349" s="30"/>
      <c r="G349" s="30"/>
      <c r="H349" s="30"/>
    </row>
    <row r="350" spans="6:8" x14ac:dyDescent="0.25">
      <c r="F350" s="30"/>
      <c r="G350" s="30"/>
      <c r="H350" s="30"/>
    </row>
    <row r="351" spans="6:8" x14ac:dyDescent="0.25">
      <c r="F351" s="30"/>
      <c r="G351" s="30"/>
      <c r="H351" s="30"/>
    </row>
    <row r="352" spans="6:8" x14ac:dyDescent="0.25">
      <c r="F352" s="30"/>
      <c r="G352" s="30"/>
      <c r="H352" s="30"/>
    </row>
    <row r="353" spans="6:8" x14ac:dyDescent="0.25">
      <c r="F353" s="30"/>
      <c r="G353" s="30"/>
      <c r="H353" s="30"/>
    </row>
    <row r="354" spans="6:8" x14ac:dyDescent="0.25">
      <c r="F354" s="30"/>
      <c r="G354" s="30"/>
      <c r="H354" s="30"/>
    </row>
    <row r="355" spans="6:8" x14ac:dyDescent="0.25">
      <c r="F355" s="30"/>
      <c r="G355" s="30"/>
      <c r="H355" s="30"/>
    </row>
    <row r="356" spans="6:8" x14ac:dyDescent="0.25">
      <c r="F356" s="30"/>
      <c r="G356" s="30"/>
      <c r="H356" s="30"/>
    </row>
    <row r="357" spans="6:8" x14ac:dyDescent="0.25">
      <c r="F357" s="30"/>
      <c r="G357" s="30"/>
      <c r="H357" s="30"/>
    </row>
    <row r="358" spans="6:8" x14ac:dyDescent="0.25">
      <c r="F358" s="30"/>
      <c r="G358" s="30"/>
      <c r="H358" s="30"/>
    </row>
    <row r="359" spans="6:8" x14ac:dyDescent="0.25">
      <c r="F359" s="30"/>
      <c r="G359" s="30"/>
      <c r="H359" s="30"/>
    </row>
    <row r="360" spans="6:8" x14ac:dyDescent="0.25">
      <c r="F360" s="30"/>
      <c r="G360" s="30"/>
      <c r="H360" s="30"/>
    </row>
    <row r="361" spans="6:8" x14ac:dyDescent="0.25">
      <c r="F361" s="30"/>
      <c r="G361" s="30"/>
      <c r="H361" s="30"/>
    </row>
    <row r="362" spans="6:8" x14ac:dyDescent="0.25">
      <c r="F362" s="30"/>
      <c r="G362" s="30"/>
      <c r="H362" s="30"/>
    </row>
    <row r="363" spans="6:8" x14ac:dyDescent="0.25">
      <c r="F363" s="30"/>
      <c r="G363" s="30"/>
      <c r="H363" s="30"/>
    </row>
    <row r="364" spans="6:8" x14ac:dyDescent="0.25">
      <c r="F364" s="30"/>
      <c r="G364" s="30"/>
      <c r="H364" s="30"/>
    </row>
    <row r="365" spans="6:8" x14ac:dyDescent="0.25">
      <c r="F365" s="30"/>
      <c r="G365" s="30"/>
      <c r="H365" s="30"/>
    </row>
    <row r="366" spans="6:8" x14ac:dyDescent="0.25">
      <c r="F366" s="30"/>
      <c r="G366" s="30"/>
      <c r="H366" s="30"/>
    </row>
    <row r="367" spans="6:8" x14ac:dyDescent="0.25">
      <c r="F367" s="30"/>
      <c r="G367" s="30"/>
      <c r="H367" s="30"/>
    </row>
    <row r="368" spans="6:8" x14ac:dyDescent="0.25">
      <c r="F368" s="30"/>
      <c r="G368" s="30"/>
      <c r="H368" s="30"/>
    </row>
    <row r="369" spans="6:8" x14ac:dyDescent="0.25">
      <c r="F369" s="30"/>
      <c r="G369" s="30"/>
      <c r="H369" s="30"/>
    </row>
    <row r="370" spans="6:8" x14ac:dyDescent="0.25">
      <c r="F370" s="30"/>
      <c r="G370" s="30"/>
      <c r="H370" s="30"/>
    </row>
    <row r="371" spans="6:8" x14ac:dyDescent="0.25">
      <c r="F371" s="30"/>
      <c r="G371" s="30"/>
      <c r="H371" s="30"/>
    </row>
    <row r="372" spans="6:8" x14ac:dyDescent="0.25">
      <c r="F372" s="30"/>
      <c r="G372" s="30"/>
      <c r="H372" s="30"/>
    </row>
    <row r="373" spans="6:8" x14ac:dyDescent="0.25">
      <c r="F373" s="30"/>
      <c r="G373" s="30"/>
      <c r="H373" s="30"/>
    </row>
    <row r="374" spans="6:8" x14ac:dyDescent="0.25">
      <c r="F374" s="30"/>
      <c r="G374" s="30"/>
      <c r="H374" s="30"/>
    </row>
    <row r="375" spans="6:8" x14ac:dyDescent="0.25">
      <c r="F375" s="30"/>
      <c r="G375" s="30"/>
      <c r="H375" s="30"/>
    </row>
    <row r="376" spans="6:8" x14ac:dyDescent="0.25">
      <c r="F376" s="30"/>
      <c r="G376" s="30"/>
      <c r="H376" s="30"/>
    </row>
    <row r="377" spans="6:8" x14ac:dyDescent="0.25">
      <c r="F377" s="30"/>
      <c r="G377" s="30"/>
      <c r="H377" s="30"/>
    </row>
    <row r="378" spans="6:8" x14ac:dyDescent="0.25">
      <c r="F378" s="30"/>
      <c r="G378" s="30"/>
      <c r="H378" s="30"/>
    </row>
    <row r="379" spans="6:8" x14ac:dyDescent="0.25">
      <c r="F379" s="30"/>
      <c r="G379" s="30"/>
      <c r="H379" s="30"/>
    </row>
    <row r="380" spans="6:8" x14ac:dyDescent="0.25">
      <c r="F380" s="30"/>
      <c r="G380" s="30"/>
      <c r="H380" s="30"/>
    </row>
    <row r="381" spans="6:8" x14ac:dyDescent="0.25">
      <c r="F381" s="30"/>
      <c r="G381" s="30"/>
      <c r="H381" s="30"/>
    </row>
    <row r="382" spans="6:8" x14ac:dyDescent="0.25">
      <c r="F382" s="30"/>
      <c r="G382" s="30"/>
      <c r="H382" s="30"/>
    </row>
    <row r="383" spans="6:8" x14ac:dyDescent="0.25">
      <c r="F383" s="30"/>
      <c r="G383" s="30"/>
      <c r="H383" s="30"/>
    </row>
    <row r="384" spans="6:8" x14ac:dyDescent="0.25">
      <c r="F384" s="30"/>
      <c r="G384" s="30"/>
      <c r="H384" s="30"/>
    </row>
    <row r="385" spans="6:8" x14ac:dyDescent="0.25">
      <c r="F385" s="30"/>
      <c r="G385" s="30"/>
      <c r="H385" s="30"/>
    </row>
    <row r="386" spans="6:8" x14ac:dyDescent="0.25">
      <c r="F386" s="30"/>
      <c r="G386" s="30"/>
      <c r="H386" s="30"/>
    </row>
    <row r="387" spans="6:8" x14ac:dyDescent="0.25">
      <c r="F387" s="30"/>
      <c r="G387" s="30"/>
      <c r="H387" s="30"/>
    </row>
    <row r="388" spans="6:8" x14ac:dyDescent="0.25">
      <c r="F388" s="30"/>
      <c r="G388" s="30"/>
      <c r="H388" s="30"/>
    </row>
    <row r="389" spans="6:8" x14ac:dyDescent="0.25">
      <c r="F389" s="30"/>
      <c r="G389" s="30"/>
      <c r="H389" s="30"/>
    </row>
    <row r="390" spans="6:8" x14ac:dyDescent="0.25">
      <c r="F390" s="30"/>
      <c r="G390" s="30"/>
      <c r="H390" s="30"/>
    </row>
    <row r="391" spans="6:8" x14ac:dyDescent="0.25">
      <c r="F391" s="30"/>
      <c r="G391" s="30"/>
      <c r="H391" s="30"/>
    </row>
    <row r="392" spans="6:8" x14ac:dyDescent="0.25">
      <c r="F392" s="30"/>
      <c r="G392" s="30"/>
      <c r="H392" s="30"/>
    </row>
    <row r="393" spans="6:8" x14ac:dyDescent="0.25">
      <c r="F393" s="30"/>
      <c r="G393" s="30"/>
      <c r="H393" s="30"/>
    </row>
    <row r="394" spans="6:8" x14ac:dyDescent="0.25">
      <c r="F394" s="30"/>
      <c r="G394" s="30"/>
      <c r="H394" s="30"/>
    </row>
    <row r="395" spans="6:8" x14ac:dyDescent="0.25">
      <c r="F395" s="30"/>
      <c r="G395" s="30"/>
      <c r="H395" s="30"/>
    </row>
    <row r="396" spans="6:8" x14ac:dyDescent="0.25">
      <c r="F396" s="30"/>
      <c r="G396" s="30"/>
      <c r="H396" s="30"/>
    </row>
    <row r="397" spans="6:8" x14ac:dyDescent="0.25">
      <c r="F397" s="30"/>
      <c r="G397" s="30"/>
      <c r="H397" s="30"/>
    </row>
    <row r="398" spans="6:8" x14ac:dyDescent="0.25">
      <c r="F398" s="30"/>
      <c r="G398" s="30"/>
      <c r="H398" s="30"/>
    </row>
    <row r="399" spans="6:8" x14ac:dyDescent="0.25">
      <c r="F399" s="30"/>
      <c r="G399" s="30"/>
      <c r="H399" s="30"/>
    </row>
    <row r="400" spans="6:8" x14ac:dyDescent="0.25">
      <c r="F400" s="30"/>
      <c r="G400" s="30"/>
      <c r="H400" s="30"/>
    </row>
    <row r="401" spans="6:8" x14ac:dyDescent="0.25">
      <c r="F401" s="30"/>
      <c r="G401" s="30"/>
      <c r="H401" s="30"/>
    </row>
    <row r="402" spans="6:8" x14ac:dyDescent="0.25">
      <c r="F402" s="30"/>
      <c r="G402" s="30"/>
      <c r="H402" s="30"/>
    </row>
    <row r="403" spans="6:8" x14ac:dyDescent="0.25">
      <c r="F403" s="30"/>
      <c r="G403" s="30"/>
      <c r="H403" s="30"/>
    </row>
    <row r="404" spans="6:8" x14ac:dyDescent="0.25">
      <c r="F404" s="30"/>
      <c r="G404" s="30"/>
      <c r="H404" s="30"/>
    </row>
    <row r="405" spans="6:8" x14ac:dyDescent="0.25">
      <c r="F405" s="30"/>
      <c r="G405" s="30"/>
      <c r="H405" s="30"/>
    </row>
    <row r="406" spans="6:8" x14ac:dyDescent="0.25">
      <c r="F406" s="30"/>
      <c r="G406" s="30"/>
      <c r="H406" s="30"/>
    </row>
    <row r="407" spans="6:8" x14ac:dyDescent="0.25">
      <c r="F407" s="30"/>
      <c r="G407" s="30"/>
      <c r="H407" s="30"/>
    </row>
    <row r="408" spans="6:8" x14ac:dyDescent="0.25">
      <c r="F408" s="30"/>
      <c r="G408" s="30"/>
      <c r="H408" s="30"/>
    </row>
    <row r="409" spans="6:8" x14ac:dyDescent="0.25">
      <c r="F409" s="30"/>
      <c r="G409" s="30"/>
      <c r="H409" s="30"/>
    </row>
    <row r="410" spans="6:8" x14ac:dyDescent="0.25">
      <c r="F410" s="30"/>
      <c r="G410" s="30"/>
      <c r="H410" s="30"/>
    </row>
    <row r="411" spans="6:8" x14ac:dyDescent="0.25">
      <c r="F411" s="30"/>
      <c r="G411" s="30"/>
      <c r="H411" s="30"/>
    </row>
    <row r="412" spans="6:8" x14ac:dyDescent="0.25">
      <c r="F412" s="30"/>
      <c r="G412" s="30"/>
      <c r="H412" s="30"/>
    </row>
    <row r="413" spans="6:8" x14ac:dyDescent="0.25">
      <c r="F413" s="30"/>
      <c r="G413" s="30"/>
      <c r="H413" s="30"/>
    </row>
    <row r="414" spans="6:8" x14ac:dyDescent="0.25">
      <c r="F414" s="30"/>
      <c r="G414" s="30"/>
      <c r="H414" s="30"/>
    </row>
    <row r="415" spans="6:8" x14ac:dyDescent="0.25">
      <c r="F415" s="30"/>
      <c r="G415" s="30"/>
      <c r="H415" s="30"/>
    </row>
    <row r="416" spans="6:8" x14ac:dyDescent="0.25">
      <c r="F416" s="30"/>
      <c r="G416" s="30"/>
      <c r="H416" s="30"/>
    </row>
    <row r="417" spans="6:8" x14ac:dyDescent="0.25">
      <c r="F417" s="30"/>
      <c r="G417" s="30"/>
      <c r="H417" s="30"/>
    </row>
    <row r="418" spans="6:8" x14ac:dyDescent="0.25">
      <c r="F418" s="30"/>
      <c r="G418" s="30"/>
      <c r="H418" s="30"/>
    </row>
    <row r="419" spans="6:8" x14ac:dyDescent="0.25">
      <c r="F419" s="30"/>
      <c r="G419" s="30"/>
      <c r="H419" s="30"/>
    </row>
    <row r="420" spans="6:8" x14ac:dyDescent="0.25">
      <c r="F420" s="30"/>
      <c r="G420" s="30"/>
      <c r="H420" s="30"/>
    </row>
    <row r="421" spans="6:8" x14ac:dyDescent="0.25">
      <c r="F421" s="30"/>
      <c r="G421" s="30"/>
      <c r="H421" s="30"/>
    </row>
    <row r="422" spans="6:8" x14ac:dyDescent="0.25">
      <c r="F422" s="30"/>
      <c r="G422" s="30"/>
      <c r="H422" s="30"/>
    </row>
    <row r="423" spans="6:8" x14ac:dyDescent="0.25">
      <c r="F423" s="30"/>
      <c r="G423" s="30"/>
      <c r="H423" s="30"/>
    </row>
    <row r="424" spans="6:8" x14ac:dyDescent="0.25">
      <c r="F424" s="30"/>
      <c r="G424" s="30"/>
      <c r="H424" s="30"/>
    </row>
    <row r="425" spans="6:8" x14ac:dyDescent="0.25">
      <c r="F425" s="30"/>
      <c r="G425" s="30"/>
      <c r="H425" s="30"/>
    </row>
    <row r="426" spans="6:8" x14ac:dyDescent="0.25">
      <c r="F426" s="30"/>
      <c r="G426" s="30"/>
      <c r="H426" s="30"/>
    </row>
    <row r="427" spans="6:8" x14ac:dyDescent="0.25">
      <c r="F427" s="30"/>
      <c r="G427" s="30"/>
      <c r="H427" s="30"/>
    </row>
    <row r="428" spans="6:8" x14ac:dyDescent="0.25">
      <c r="F428" s="30"/>
      <c r="G428" s="30"/>
      <c r="H428" s="30"/>
    </row>
    <row r="429" spans="6:8" x14ac:dyDescent="0.25">
      <c r="F429" s="30"/>
      <c r="G429" s="30"/>
      <c r="H429" s="30"/>
    </row>
    <row r="430" spans="6:8" x14ac:dyDescent="0.25">
      <c r="F430" s="30"/>
      <c r="G430" s="30"/>
      <c r="H430" s="30"/>
    </row>
    <row r="431" spans="6:8" x14ac:dyDescent="0.25">
      <c r="F431" s="30"/>
      <c r="G431" s="30"/>
      <c r="H431" s="30"/>
    </row>
    <row r="432" spans="6:8" x14ac:dyDescent="0.25">
      <c r="F432" s="30"/>
      <c r="G432" s="30"/>
      <c r="H432" s="30"/>
    </row>
    <row r="433" spans="6:8" x14ac:dyDescent="0.25">
      <c r="F433" s="30"/>
      <c r="G433" s="30"/>
      <c r="H433" s="30"/>
    </row>
    <row r="434" spans="6:8" x14ac:dyDescent="0.25">
      <c r="F434" s="30"/>
      <c r="G434" s="30"/>
      <c r="H434" s="30"/>
    </row>
    <row r="435" spans="6:8" x14ac:dyDescent="0.25">
      <c r="F435" s="30"/>
      <c r="G435" s="30"/>
      <c r="H435" s="30"/>
    </row>
    <row r="436" spans="6:8" x14ac:dyDescent="0.25">
      <c r="F436" s="30"/>
      <c r="G436" s="30"/>
      <c r="H436" s="30"/>
    </row>
    <row r="437" spans="6:8" x14ac:dyDescent="0.25">
      <c r="F437" s="30"/>
      <c r="G437" s="30"/>
      <c r="H437" s="30"/>
    </row>
    <row r="438" spans="6:8" x14ac:dyDescent="0.25">
      <c r="F438" s="30"/>
      <c r="G438" s="30"/>
      <c r="H438" s="30"/>
    </row>
    <row r="439" spans="6:8" x14ac:dyDescent="0.25">
      <c r="F439" s="30"/>
      <c r="G439" s="30"/>
      <c r="H439" s="30"/>
    </row>
    <row r="440" spans="6:8" x14ac:dyDescent="0.25">
      <c r="F440" s="30"/>
      <c r="G440" s="30"/>
      <c r="H440" s="30"/>
    </row>
    <row r="441" spans="6:8" x14ac:dyDescent="0.25">
      <c r="F441" s="30"/>
      <c r="G441" s="30"/>
      <c r="H441" s="30"/>
    </row>
    <row r="442" spans="6:8" x14ac:dyDescent="0.25">
      <c r="F442" s="30"/>
      <c r="G442" s="30"/>
      <c r="H442" s="30"/>
    </row>
    <row r="443" spans="6:8" x14ac:dyDescent="0.25">
      <c r="F443" s="30"/>
      <c r="G443" s="30"/>
      <c r="H443" s="30"/>
    </row>
    <row r="444" spans="6:8" x14ac:dyDescent="0.25">
      <c r="F444" s="30"/>
      <c r="G444" s="30"/>
      <c r="H444" s="30"/>
    </row>
    <row r="445" spans="6:8" x14ac:dyDescent="0.25">
      <c r="F445" s="30"/>
      <c r="G445" s="30"/>
      <c r="H445" s="30"/>
    </row>
    <row r="446" spans="6:8" x14ac:dyDescent="0.25">
      <c r="F446" s="30"/>
      <c r="G446" s="30"/>
      <c r="H446" s="30"/>
    </row>
    <row r="447" spans="6:8" x14ac:dyDescent="0.25">
      <c r="F447" s="30"/>
      <c r="G447" s="30"/>
      <c r="H447" s="30"/>
    </row>
    <row r="448" spans="6:8" x14ac:dyDescent="0.25">
      <c r="F448" s="30"/>
      <c r="G448" s="30"/>
      <c r="H448" s="30"/>
    </row>
    <row r="449" spans="6:8" x14ac:dyDescent="0.25">
      <c r="F449" s="30"/>
      <c r="G449" s="30"/>
      <c r="H449" s="30"/>
    </row>
    <row r="450" spans="6:8" x14ac:dyDescent="0.25">
      <c r="F450" s="30"/>
      <c r="G450" s="30"/>
      <c r="H450" s="30"/>
    </row>
    <row r="451" spans="6:8" x14ac:dyDescent="0.25">
      <c r="F451" s="30"/>
      <c r="G451" s="30"/>
      <c r="H451" s="30"/>
    </row>
    <row r="452" spans="6:8" x14ac:dyDescent="0.25">
      <c r="F452" s="30"/>
      <c r="G452" s="30"/>
      <c r="H452" s="30"/>
    </row>
    <row r="453" spans="6:8" x14ac:dyDescent="0.25">
      <c r="F453" s="30"/>
      <c r="G453" s="30"/>
      <c r="H453" s="30"/>
    </row>
    <row r="454" spans="6:8" x14ac:dyDescent="0.25">
      <c r="F454" s="30"/>
      <c r="G454" s="30"/>
      <c r="H454" s="30"/>
    </row>
    <row r="455" spans="6:8" x14ac:dyDescent="0.25">
      <c r="F455" s="30"/>
      <c r="G455" s="30"/>
      <c r="H455" s="30"/>
    </row>
    <row r="456" spans="6:8" x14ac:dyDescent="0.25">
      <c r="F456" s="30"/>
      <c r="G456" s="30"/>
      <c r="H456" s="30"/>
    </row>
    <row r="457" spans="6:8" x14ac:dyDescent="0.25">
      <c r="F457" s="30"/>
      <c r="G457" s="30"/>
      <c r="H457" s="30"/>
    </row>
    <row r="458" spans="6:8" x14ac:dyDescent="0.25">
      <c r="F458" s="30"/>
      <c r="G458" s="30"/>
      <c r="H458" s="30"/>
    </row>
    <row r="459" spans="6:8" x14ac:dyDescent="0.25">
      <c r="F459" s="30"/>
      <c r="G459" s="30"/>
      <c r="H459" s="30"/>
    </row>
    <row r="460" spans="6:8" x14ac:dyDescent="0.25">
      <c r="F460" s="30"/>
      <c r="G460" s="30"/>
      <c r="H460" s="30"/>
    </row>
    <row r="461" spans="6:8" x14ac:dyDescent="0.25">
      <c r="F461" s="30"/>
      <c r="G461" s="30"/>
      <c r="H461" s="30"/>
    </row>
    <row r="462" spans="6:8" x14ac:dyDescent="0.25">
      <c r="F462" s="30"/>
      <c r="G462" s="30"/>
      <c r="H462" s="30"/>
    </row>
    <row r="463" spans="6:8" x14ac:dyDescent="0.25">
      <c r="F463" s="30"/>
      <c r="G463" s="30"/>
      <c r="H463" s="30"/>
    </row>
    <row r="464" spans="6:8" x14ac:dyDescent="0.25">
      <c r="F464" s="30"/>
      <c r="G464" s="30"/>
      <c r="H464" s="30"/>
    </row>
    <row r="465" spans="6:8" x14ac:dyDescent="0.25">
      <c r="F465" s="30"/>
      <c r="G465" s="30"/>
      <c r="H465" s="30"/>
    </row>
    <row r="466" spans="6:8" x14ac:dyDescent="0.25">
      <c r="F466" s="30"/>
      <c r="G466" s="30"/>
      <c r="H466" s="30"/>
    </row>
    <row r="467" spans="6:8" x14ac:dyDescent="0.25">
      <c r="F467" s="30"/>
      <c r="G467" s="30"/>
      <c r="H467" s="30"/>
    </row>
    <row r="468" spans="6:8" x14ac:dyDescent="0.25">
      <c r="F468" s="30"/>
      <c r="G468" s="30"/>
      <c r="H468" s="30"/>
    </row>
    <row r="469" spans="6:8" x14ac:dyDescent="0.25">
      <c r="F469" s="30"/>
      <c r="G469" s="30"/>
      <c r="H469" s="30"/>
    </row>
    <row r="470" spans="6:8" x14ac:dyDescent="0.25">
      <c r="F470" s="30"/>
      <c r="G470" s="30"/>
      <c r="H470" s="30"/>
    </row>
    <row r="471" spans="6:8" x14ac:dyDescent="0.25">
      <c r="F471" s="30"/>
      <c r="G471" s="30"/>
      <c r="H471" s="30"/>
    </row>
    <row r="472" spans="6:8" x14ac:dyDescent="0.25">
      <c r="F472" s="30"/>
      <c r="G472" s="30"/>
      <c r="H472" s="30"/>
    </row>
    <row r="473" spans="6:8" x14ac:dyDescent="0.25">
      <c r="F473" s="30"/>
      <c r="G473" s="30"/>
      <c r="H473" s="30"/>
    </row>
    <row r="474" spans="6:8" x14ac:dyDescent="0.25">
      <c r="F474" s="30"/>
      <c r="G474" s="30"/>
      <c r="H474" s="30"/>
    </row>
    <row r="475" spans="6:8" x14ac:dyDescent="0.25">
      <c r="F475" s="30"/>
      <c r="G475" s="30"/>
      <c r="H475" s="30"/>
    </row>
    <row r="476" spans="6:8" x14ac:dyDescent="0.25">
      <c r="F476" s="30"/>
      <c r="G476" s="30"/>
      <c r="H476" s="30"/>
    </row>
    <row r="477" spans="6:8" x14ac:dyDescent="0.25">
      <c r="F477" s="30"/>
      <c r="G477" s="30"/>
      <c r="H477" s="30"/>
    </row>
    <row r="478" spans="6:8" x14ac:dyDescent="0.25">
      <c r="F478" s="30"/>
      <c r="G478" s="30"/>
      <c r="H478" s="30"/>
    </row>
    <row r="479" spans="6:8" x14ac:dyDescent="0.25">
      <c r="F479" s="30"/>
      <c r="G479" s="30"/>
      <c r="H479" s="30"/>
    </row>
    <row r="480" spans="6:8" x14ac:dyDescent="0.25">
      <c r="F480" s="30"/>
      <c r="G480" s="30"/>
      <c r="H480" s="30"/>
    </row>
    <row r="481" spans="6:8" x14ac:dyDescent="0.25">
      <c r="F481" s="30"/>
      <c r="G481" s="30"/>
      <c r="H481" s="30"/>
    </row>
    <row r="482" spans="6:8" x14ac:dyDescent="0.25">
      <c r="F482" s="30"/>
      <c r="G482" s="30"/>
      <c r="H482" s="30"/>
    </row>
    <row r="483" spans="6:8" x14ac:dyDescent="0.25">
      <c r="F483" s="30"/>
      <c r="G483" s="30"/>
      <c r="H483" s="30"/>
    </row>
    <row r="484" spans="6:8" x14ac:dyDescent="0.25">
      <c r="F484" s="30"/>
      <c r="G484" s="30"/>
      <c r="H484" s="30"/>
    </row>
    <row r="485" spans="6:8" x14ac:dyDescent="0.25">
      <c r="F485" s="30"/>
      <c r="G485" s="30"/>
      <c r="H485" s="30"/>
    </row>
    <row r="486" spans="6:8" x14ac:dyDescent="0.25">
      <c r="F486" s="30"/>
      <c r="G486" s="30"/>
      <c r="H486" s="30"/>
    </row>
    <row r="487" spans="6:8" x14ac:dyDescent="0.25">
      <c r="F487" s="30"/>
      <c r="G487" s="30"/>
      <c r="H487" s="30"/>
    </row>
    <row r="488" spans="6:8" x14ac:dyDescent="0.25">
      <c r="F488" s="30"/>
      <c r="G488" s="30"/>
      <c r="H488" s="30"/>
    </row>
    <row r="489" spans="6:8" x14ac:dyDescent="0.25">
      <c r="F489" s="30"/>
      <c r="G489" s="30"/>
      <c r="H489" s="30"/>
    </row>
    <row r="490" spans="6:8" x14ac:dyDescent="0.25">
      <c r="F490" s="30"/>
      <c r="G490" s="30"/>
      <c r="H490" s="30"/>
    </row>
    <row r="491" spans="6:8" x14ac:dyDescent="0.25">
      <c r="F491" s="30"/>
      <c r="G491" s="30"/>
      <c r="H491" s="30"/>
    </row>
    <row r="492" spans="6:8" x14ac:dyDescent="0.25">
      <c r="F492" s="30"/>
      <c r="G492" s="30"/>
      <c r="H492" s="30"/>
    </row>
    <row r="493" spans="6:8" x14ac:dyDescent="0.25">
      <c r="F493" s="30"/>
      <c r="G493" s="30"/>
      <c r="H493" s="30"/>
    </row>
    <row r="494" spans="6:8" x14ac:dyDescent="0.25">
      <c r="F494" s="30"/>
      <c r="G494" s="30"/>
      <c r="H494" s="30"/>
    </row>
    <row r="495" spans="6:8" x14ac:dyDescent="0.25">
      <c r="F495" s="30"/>
      <c r="G495" s="30"/>
      <c r="H495" s="30"/>
    </row>
    <row r="496" spans="6:8" x14ac:dyDescent="0.25">
      <c r="F496" s="30"/>
      <c r="G496" s="30"/>
      <c r="H496" s="30"/>
    </row>
    <row r="497" spans="6:8" x14ac:dyDescent="0.25">
      <c r="F497" s="30"/>
      <c r="G497" s="30"/>
      <c r="H497" s="30"/>
    </row>
    <row r="498" spans="6:8" x14ac:dyDescent="0.25">
      <c r="F498" s="30"/>
      <c r="G498" s="30"/>
      <c r="H498" s="30"/>
    </row>
    <row r="499" spans="6:8" x14ac:dyDescent="0.25">
      <c r="F499" s="30"/>
      <c r="G499" s="30"/>
      <c r="H499" s="30"/>
    </row>
    <row r="500" spans="6:8" x14ac:dyDescent="0.25">
      <c r="F500" s="30"/>
      <c r="G500" s="30"/>
      <c r="H500" s="30"/>
    </row>
  </sheetData>
  <mergeCells count="2">
    <mergeCell ref="A1:J1"/>
    <mergeCell ref="A2:J2"/>
  </mergeCells>
  <conditionalFormatting sqref="I5:I500">
    <cfRule type="expression" dxfId="6" priority="1">
      <formula>I5="Pendente"</formula>
    </cfRule>
  </conditionalFormatting>
  <conditionalFormatting sqref="I5:I500">
    <cfRule type="expression" dxfId="5" priority="2">
      <formula>I5="Conferido"</formula>
    </cfRule>
  </conditionalFormatting>
  <dataValidations count="3">
    <dataValidation type="list" allowBlank="1" showInputMessage="1" showErrorMessage="1" sqref="A5:A500" xr:uid="{29DF4B5A-63A5-48EF-AF99-892ABB17E1A4}">
      <formula1>"Sim,Não"</formula1>
    </dataValidation>
    <dataValidation type="list" allowBlank="1" showInputMessage="1" showErrorMessage="1" sqref="B5:B500" xr:uid="{9239BF5A-1429-47F5-9248-7F90C2E3CEC5}">
      <formula1>"Saúde,Educação,Previdência,Pensão,Doação,Dependente,Outro"</formula1>
    </dataValidation>
    <dataValidation type="list" allowBlank="1" showInputMessage="1" showErrorMessage="1" sqref="I5:I500" xr:uid="{211581EF-3F76-4A5E-B20E-4620807B7E62}">
      <formula1>"Exemplo,Pendente,Conferido"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4E91-BC8C-443D-AD93-D9F7AAD2379E}">
  <dimension ref="A1:K500"/>
  <sheetViews>
    <sheetView showGridLines="0" workbookViewId="0">
      <selection sqref="A1:K1"/>
    </sheetView>
  </sheetViews>
  <sheetFormatPr defaultRowHeight="15" x14ac:dyDescent="0.25"/>
  <cols>
    <col min="1" max="1" width="8.85546875" bestFit="1" customWidth="1"/>
    <col min="2" max="2" width="13.42578125" bestFit="1" customWidth="1"/>
    <col min="3" max="3" width="32.42578125" customWidth="1"/>
    <col min="4" max="4" width="8.85546875" bestFit="1" customWidth="1"/>
    <col min="5" max="5" width="6.85546875" bestFit="1" customWidth="1"/>
    <col min="6" max="6" width="16.28515625" bestFit="1" customWidth="1"/>
    <col min="7" max="7" width="12.5703125" bestFit="1" customWidth="1"/>
    <col min="8" max="8" width="8.7109375" bestFit="1" customWidth="1"/>
    <col min="9" max="9" width="14.85546875" bestFit="1" customWidth="1"/>
    <col min="10" max="10" width="9" bestFit="1" customWidth="1"/>
    <col min="11" max="11" width="26.7109375" customWidth="1"/>
  </cols>
  <sheetData>
    <row r="1" spans="1:11" s="6" customFormat="1" ht="33.950000000000003" customHeight="1" x14ac:dyDescent="0.25">
      <c r="A1" s="4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s="20" customFormat="1" ht="24" customHeight="1" x14ac:dyDescent="0.25">
      <c r="A2" s="18" t="s">
        <v>73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7.95" customHeight="1" x14ac:dyDescent="0.25">
      <c r="A4" s="3" t="s">
        <v>46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  <c r="J4" s="3" t="s">
        <v>54</v>
      </c>
      <c r="K4" s="3" t="s">
        <v>55</v>
      </c>
    </row>
    <row r="5" spans="1:11" x14ac:dyDescent="0.25">
      <c r="A5" s="3" t="s">
        <v>43</v>
      </c>
      <c r="B5" s="3" t="s">
        <v>82</v>
      </c>
      <c r="C5" s="3" t="s">
        <v>83</v>
      </c>
      <c r="D5" s="3" t="s">
        <v>76</v>
      </c>
      <c r="E5" s="3" t="s">
        <v>84</v>
      </c>
      <c r="F5" s="29">
        <v>0</v>
      </c>
      <c r="G5" s="29">
        <v>1000</v>
      </c>
      <c r="H5" s="29">
        <v>0</v>
      </c>
      <c r="I5" s="29">
        <f>F5+G5-H5</f>
        <v>1000</v>
      </c>
      <c r="J5" s="3" t="s">
        <v>61</v>
      </c>
      <c r="K5" s="3" t="s">
        <v>62</v>
      </c>
    </row>
    <row r="6" spans="1:11" x14ac:dyDescent="0.25">
      <c r="F6" s="30"/>
      <c r="G6" s="30"/>
      <c r="H6" s="30"/>
      <c r="I6" s="30"/>
    </row>
    <row r="7" spans="1:11" x14ac:dyDescent="0.25">
      <c r="F7" s="30"/>
      <c r="G7" s="30"/>
      <c r="H7" s="30"/>
      <c r="I7" s="30"/>
    </row>
    <row r="8" spans="1:11" x14ac:dyDescent="0.25">
      <c r="F8" s="30"/>
      <c r="G8" s="30"/>
      <c r="H8" s="30"/>
      <c r="I8" s="30"/>
    </row>
    <row r="9" spans="1:11" x14ac:dyDescent="0.25">
      <c r="F9" s="30"/>
      <c r="G9" s="30"/>
      <c r="H9" s="30"/>
      <c r="I9" s="30"/>
    </row>
    <row r="10" spans="1:11" x14ac:dyDescent="0.25">
      <c r="F10" s="30"/>
      <c r="G10" s="30"/>
      <c r="H10" s="30"/>
      <c r="I10" s="30"/>
    </row>
    <row r="11" spans="1:11" x14ac:dyDescent="0.25">
      <c r="F11" s="30"/>
      <c r="G11" s="30"/>
      <c r="H11" s="30"/>
      <c r="I11" s="30"/>
    </row>
    <row r="12" spans="1:11" x14ac:dyDescent="0.25">
      <c r="F12" s="30"/>
      <c r="G12" s="30"/>
      <c r="H12" s="30"/>
      <c r="I12" s="30"/>
    </row>
    <row r="13" spans="1:11" x14ac:dyDescent="0.25">
      <c r="F13" s="30"/>
      <c r="G13" s="30"/>
      <c r="H13" s="30"/>
      <c r="I13" s="30"/>
    </row>
    <row r="14" spans="1:11" x14ac:dyDescent="0.25">
      <c r="F14" s="30"/>
      <c r="G14" s="30"/>
      <c r="H14" s="30"/>
      <c r="I14" s="30"/>
    </row>
    <row r="15" spans="1:11" x14ac:dyDescent="0.25">
      <c r="F15" s="30"/>
      <c r="G15" s="30"/>
      <c r="H15" s="30"/>
      <c r="I15" s="30"/>
    </row>
    <row r="16" spans="1:11" x14ac:dyDescent="0.25">
      <c r="F16" s="30"/>
      <c r="G16" s="30"/>
      <c r="H16" s="30"/>
      <c r="I16" s="30"/>
    </row>
    <row r="17" spans="6:9" x14ac:dyDescent="0.25">
      <c r="F17" s="30"/>
      <c r="G17" s="30"/>
      <c r="H17" s="30"/>
      <c r="I17" s="30"/>
    </row>
    <row r="18" spans="6:9" x14ac:dyDescent="0.25">
      <c r="F18" s="30"/>
      <c r="G18" s="30"/>
      <c r="H18" s="30"/>
      <c r="I18" s="30"/>
    </row>
    <row r="19" spans="6:9" x14ac:dyDescent="0.25">
      <c r="F19" s="30"/>
      <c r="G19" s="30"/>
      <c r="H19" s="30"/>
      <c r="I19" s="30"/>
    </row>
    <row r="20" spans="6:9" x14ac:dyDescent="0.25">
      <c r="F20" s="30"/>
      <c r="G20" s="30"/>
      <c r="H20" s="30"/>
      <c r="I20" s="30"/>
    </row>
    <row r="21" spans="6:9" x14ac:dyDescent="0.25">
      <c r="F21" s="30"/>
      <c r="G21" s="30"/>
      <c r="H21" s="30"/>
      <c r="I21" s="30"/>
    </row>
    <row r="22" spans="6:9" x14ac:dyDescent="0.25">
      <c r="F22" s="30"/>
      <c r="G22" s="30"/>
      <c r="H22" s="30"/>
      <c r="I22" s="30"/>
    </row>
    <row r="23" spans="6:9" x14ac:dyDescent="0.25">
      <c r="F23" s="30"/>
      <c r="G23" s="30"/>
      <c r="H23" s="30"/>
      <c r="I23" s="30"/>
    </row>
    <row r="24" spans="6:9" x14ac:dyDescent="0.25">
      <c r="F24" s="30"/>
      <c r="G24" s="30"/>
      <c r="H24" s="30"/>
      <c r="I24" s="30"/>
    </row>
    <row r="25" spans="6:9" x14ac:dyDescent="0.25">
      <c r="F25" s="30"/>
      <c r="G25" s="30"/>
      <c r="H25" s="30"/>
      <c r="I25" s="30"/>
    </row>
    <row r="26" spans="6:9" x14ac:dyDescent="0.25">
      <c r="F26" s="30"/>
      <c r="G26" s="30"/>
      <c r="H26" s="30"/>
      <c r="I26" s="30"/>
    </row>
    <row r="27" spans="6:9" x14ac:dyDescent="0.25">
      <c r="F27" s="30"/>
      <c r="G27" s="30"/>
      <c r="H27" s="30"/>
      <c r="I27" s="30"/>
    </row>
    <row r="28" spans="6:9" x14ac:dyDescent="0.25">
      <c r="F28" s="30"/>
      <c r="G28" s="30"/>
      <c r="H28" s="30"/>
      <c r="I28" s="30"/>
    </row>
    <row r="29" spans="6:9" x14ac:dyDescent="0.25">
      <c r="F29" s="30"/>
      <c r="G29" s="30"/>
      <c r="H29" s="30"/>
      <c r="I29" s="30"/>
    </row>
    <row r="30" spans="6:9" x14ac:dyDescent="0.25">
      <c r="F30" s="30"/>
      <c r="G30" s="30"/>
      <c r="H30" s="30"/>
      <c r="I30" s="30"/>
    </row>
    <row r="31" spans="6:9" x14ac:dyDescent="0.25">
      <c r="F31" s="30"/>
      <c r="G31" s="30"/>
      <c r="H31" s="30"/>
      <c r="I31" s="30"/>
    </row>
    <row r="32" spans="6:9" x14ac:dyDescent="0.25">
      <c r="F32" s="30"/>
      <c r="G32" s="30"/>
      <c r="H32" s="30"/>
      <c r="I32" s="30"/>
    </row>
    <row r="33" spans="6:9" x14ac:dyDescent="0.25">
      <c r="F33" s="30"/>
      <c r="G33" s="30"/>
      <c r="H33" s="30"/>
      <c r="I33" s="30"/>
    </row>
    <row r="34" spans="6:9" x14ac:dyDescent="0.25">
      <c r="F34" s="30"/>
      <c r="G34" s="30"/>
      <c r="H34" s="30"/>
      <c r="I34" s="30"/>
    </row>
    <row r="35" spans="6:9" x14ac:dyDescent="0.25">
      <c r="F35" s="30"/>
      <c r="G35" s="30"/>
      <c r="H35" s="30"/>
      <c r="I35" s="30"/>
    </row>
    <row r="36" spans="6:9" x14ac:dyDescent="0.25">
      <c r="F36" s="30"/>
      <c r="G36" s="30"/>
      <c r="H36" s="30"/>
      <c r="I36" s="30"/>
    </row>
    <row r="37" spans="6:9" x14ac:dyDescent="0.25">
      <c r="F37" s="30"/>
      <c r="G37" s="30"/>
      <c r="H37" s="30"/>
      <c r="I37" s="30"/>
    </row>
    <row r="38" spans="6:9" x14ac:dyDescent="0.25">
      <c r="F38" s="30"/>
      <c r="G38" s="30"/>
      <c r="H38" s="30"/>
      <c r="I38" s="30"/>
    </row>
    <row r="39" spans="6:9" x14ac:dyDescent="0.25">
      <c r="F39" s="30"/>
      <c r="G39" s="30"/>
      <c r="H39" s="30"/>
      <c r="I39" s="30"/>
    </row>
    <row r="40" spans="6:9" x14ac:dyDescent="0.25">
      <c r="F40" s="30"/>
      <c r="G40" s="30"/>
      <c r="H40" s="30"/>
      <c r="I40" s="30"/>
    </row>
    <row r="41" spans="6:9" x14ac:dyDescent="0.25">
      <c r="F41" s="30"/>
      <c r="G41" s="30"/>
      <c r="H41" s="30"/>
      <c r="I41" s="30"/>
    </row>
    <row r="42" spans="6:9" x14ac:dyDescent="0.25">
      <c r="F42" s="30"/>
      <c r="G42" s="30"/>
      <c r="H42" s="30"/>
      <c r="I42" s="30"/>
    </row>
    <row r="43" spans="6:9" x14ac:dyDescent="0.25">
      <c r="F43" s="30"/>
      <c r="G43" s="30"/>
      <c r="H43" s="30"/>
      <c r="I43" s="30"/>
    </row>
    <row r="44" spans="6:9" x14ac:dyDescent="0.25">
      <c r="F44" s="30"/>
      <c r="G44" s="30"/>
      <c r="H44" s="30"/>
      <c r="I44" s="30"/>
    </row>
    <row r="45" spans="6:9" x14ac:dyDescent="0.25">
      <c r="F45" s="30"/>
      <c r="G45" s="30"/>
      <c r="H45" s="30"/>
      <c r="I45" s="30"/>
    </row>
    <row r="46" spans="6:9" x14ac:dyDescent="0.25">
      <c r="F46" s="30"/>
      <c r="G46" s="30"/>
      <c r="H46" s="30"/>
      <c r="I46" s="30"/>
    </row>
    <row r="47" spans="6:9" x14ac:dyDescent="0.25">
      <c r="F47" s="30"/>
      <c r="G47" s="30"/>
      <c r="H47" s="30"/>
      <c r="I47" s="30"/>
    </row>
    <row r="48" spans="6:9" x14ac:dyDescent="0.25">
      <c r="F48" s="30"/>
      <c r="G48" s="30"/>
      <c r="H48" s="30"/>
      <c r="I48" s="30"/>
    </row>
    <row r="49" spans="6:9" x14ac:dyDescent="0.25">
      <c r="F49" s="30"/>
      <c r="G49" s="30"/>
      <c r="H49" s="30"/>
      <c r="I49" s="30"/>
    </row>
    <row r="50" spans="6:9" x14ac:dyDescent="0.25">
      <c r="F50" s="30"/>
      <c r="G50" s="30"/>
      <c r="H50" s="30"/>
      <c r="I50" s="30"/>
    </row>
    <row r="51" spans="6:9" x14ac:dyDescent="0.25">
      <c r="F51" s="30"/>
      <c r="G51" s="30"/>
      <c r="H51" s="30"/>
      <c r="I51" s="30"/>
    </row>
    <row r="52" spans="6:9" x14ac:dyDescent="0.25">
      <c r="F52" s="30"/>
      <c r="G52" s="30"/>
      <c r="H52" s="30"/>
      <c r="I52" s="30"/>
    </row>
    <row r="53" spans="6:9" x14ac:dyDescent="0.25">
      <c r="F53" s="30"/>
      <c r="G53" s="30"/>
      <c r="H53" s="30"/>
      <c r="I53" s="30"/>
    </row>
    <row r="54" spans="6:9" x14ac:dyDescent="0.25">
      <c r="F54" s="30"/>
      <c r="G54" s="30"/>
      <c r="H54" s="30"/>
      <c r="I54" s="30"/>
    </row>
    <row r="55" spans="6:9" x14ac:dyDescent="0.25">
      <c r="F55" s="30"/>
      <c r="G55" s="30"/>
      <c r="H55" s="30"/>
      <c r="I55" s="30"/>
    </row>
    <row r="56" spans="6:9" x14ac:dyDescent="0.25">
      <c r="F56" s="30"/>
      <c r="G56" s="30"/>
      <c r="H56" s="30"/>
      <c r="I56" s="30"/>
    </row>
    <row r="57" spans="6:9" x14ac:dyDescent="0.25">
      <c r="F57" s="30"/>
      <c r="G57" s="30"/>
      <c r="H57" s="30"/>
      <c r="I57" s="30"/>
    </row>
    <row r="58" spans="6:9" x14ac:dyDescent="0.25">
      <c r="F58" s="30"/>
      <c r="G58" s="30"/>
      <c r="H58" s="30"/>
      <c r="I58" s="30"/>
    </row>
    <row r="59" spans="6:9" x14ac:dyDescent="0.25">
      <c r="F59" s="30"/>
      <c r="G59" s="30"/>
      <c r="H59" s="30"/>
      <c r="I59" s="30"/>
    </row>
    <row r="60" spans="6:9" x14ac:dyDescent="0.25">
      <c r="F60" s="30"/>
      <c r="G60" s="30"/>
      <c r="H60" s="30"/>
      <c r="I60" s="30"/>
    </row>
    <row r="61" spans="6:9" x14ac:dyDescent="0.25">
      <c r="F61" s="30"/>
      <c r="G61" s="30"/>
      <c r="H61" s="30"/>
      <c r="I61" s="30"/>
    </row>
    <row r="62" spans="6:9" x14ac:dyDescent="0.25">
      <c r="F62" s="30"/>
      <c r="G62" s="30"/>
      <c r="H62" s="30"/>
      <c r="I62" s="30"/>
    </row>
    <row r="63" spans="6:9" x14ac:dyDescent="0.25">
      <c r="F63" s="30"/>
      <c r="G63" s="30"/>
      <c r="H63" s="30"/>
      <c r="I63" s="30"/>
    </row>
    <row r="64" spans="6:9" x14ac:dyDescent="0.25">
      <c r="F64" s="30"/>
      <c r="G64" s="30"/>
      <c r="H64" s="30"/>
      <c r="I64" s="30"/>
    </row>
    <row r="65" spans="6:9" x14ac:dyDescent="0.25">
      <c r="F65" s="30"/>
      <c r="G65" s="30"/>
      <c r="H65" s="30"/>
      <c r="I65" s="30"/>
    </row>
    <row r="66" spans="6:9" x14ac:dyDescent="0.25">
      <c r="F66" s="30"/>
      <c r="G66" s="30"/>
      <c r="H66" s="30"/>
      <c r="I66" s="30"/>
    </row>
    <row r="67" spans="6:9" x14ac:dyDescent="0.25">
      <c r="F67" s="30"/>
      <c r="G67" s="30"/>
      <c r="H67" s="30"/>
      <c r="I67" s="30"/>
    </row>
    <row r="68" spans="6:9" x14ac:dyDescent="0.25">
      <c r="F68" s="30"/>
      <c r="G68" s="30"/>
      <c r="H68" s="30"/>
      <c r="I68" s="30"/>
    </row>
    <row r="69" spans="6:9" x14ac:dyDescent="0.25">
      <c r="F69" s="30"/>
      <c r="G69" s="30"/>
      <c r="H69" s="30"/>
      <c r="I69" s="30"/>
    </row>
    <row r="70" spans="6:9" x14ac:dyDescent="0.25">
      <c r="F70" s="30"/>
      <c r="G70" s="30"/>
      <c r="H70" s="30"/>
      <c r="I70" s="30"/>
    </row>
    <row r="71" spans="6:9" x14ac:dyDescent="0.25">
      <c r="F71" s="30"/>
      <c r="G71" s="30"/>
      <c r="H71" s="30"/>
      <c r="I71" s="30"/>
    </row>
    <row r="72" spans="6:9" x14ac:dyDescent="0.25">
      <c r="F72" s="30"/>
      <c r="G72" s="30"/>
      <c r="H72" s="30"/>
      <c r="I72" s="30"/>
    </row>
    <row r="73" spans="6:9" x14ac:dyDescent="0.25">
      <c r="F73" s="30"/>
      <c r="G73" s="30"/>
      <c r="H73" s="30"/>
      <c r="I73" s="30"/>
    </row>
    <row r="74" spans="6:9" x14ac:dyDescent="0.25">
      <c r="F74" s="30"/>
      <c r="G74" s="30"/>
      <c r="H74" s="30"/>
      <c r="I74" s="30"/>
    </row>
    <row r="75" spans="6:9" x14ac:dyDescent="0.25">
      <c r="F75" s="30"/>
      <c r="G75" s="30"/>
      <c r="H75" s="30"/>
      <c r="I75" s="30"/>
    </row>
    <row r="76" spans="6:9" x14ac:dyDescent="0.25">
      <c r="F76" s="30"/>
      <c r="G76" s="30"/>
      <c r="H76" s="30"/>
      <c r="I76" s="30"/>
    </row>
    <row r="77" spans="6:9" x14ac:dyDescent="0.25">
      <c r="F77" s="30"/>
      <c r="G77" s="30"/>
      <c r="H77" s="30"/>
      <c r="I77" s="30"/>
    </row>
    <row r="78" spans="6:9" x14ac:dyDescent="0.25">
      <c r="F78" s="30"/>
      <c r="G78" s="30"/>
      <c r="H78" s="30"/>
      <c r="I78" s="30"/>
    </row>
    <row r="79" spans="6:9" x14ac:dyDescent="0.25">
      <c r="F79" s="30"/>
      <c r="G79" s="30"/>
      <c r="H79" s="30"/>
      <c r="I79" s="30"/>
    </row>
    <row r="80" spans="6:9" x14ac:dyDescent="0.25">
      <c r="F80" s="30"/>
      <c r="G80" s="30"/>
      <c r="H80" s="30"/>
      <c r="I80" s="30"/>
    </row>
    <row r="81" spans="6:9" x14ac:dyDescent="0.25">
      <c r="F81" s="30"/>
      <c r="G81" s="30"/>
      <c r="H81" s="30"/>
      <c r="I81" s="30"/>
    </row>
    <row r="82" spans="6:9" x14ac:dyDescent="0.25">
      <c r="F82" s="30"/>
      <c r="G82" s="30"/>
      <c r="H82" s="30"/>
      <c r="I82" s="30"/>
    </row>
    <row r="83" spans="6:9" x14ac:dyDescent="0.25">
      <c r="F83" s="30"/>
      <c r="G83" s="30"/>
      <c r="H83" s="30"/>
      <c r="I83" s="30"/>
    </row>
    <row r="84" spans="6:9" x14ac:dyDescent="0.25">
      <c r="F84" s="30"/>
      <c r="G84" s="30"/>
      <c r="H84" s="30"/>
      <c r="I84" s="30"/>
    </row>
    <row r="85" spans="6:9" x14ac:dyDescent="0.25">
      <c r="F85" s="30"/>
      <c r="G85" s="30"/>
      <c r="H85" s="30"/>
      <c r="I85" s="30"/>
    </row>
    <row r="86" spans="6:9" x14ac:dyDescent="0.25">
      <c r="F86" s="30"/>
      <c r="G86" s="30"/>
      <c r="H86" s="30"/>
      <c r="I86" s="30"/>
    </row>
    <row r="87" spans="6:9" x14ac:dyDescent="0.25">
      <c r="F87" s="30"/>
      <c r="G87" s="30"/>
      <c r="H87" s="30"/>
      <c r="I87" s="30"/>
    </row>
    <row r="88" spans="6:9" x14ac:dyDescent="0.25">
      <c r="F88" s="30"/>
      <c r="G88" s="30"/>
      <c r="H88" s="30"/>
      <c r="I88" s="30"/>
    </row>
    <row r="89" spans="6:9" x14ac:dyDescent="0.25">
      <c r="F89" s="30"/>
      <c r="G89" s="30"/>
      <c r="H89" s="30"/>
      <c r="I89" s="30"/>
    </row>
    <row r="90" spans="6:9" x14ac:dyDescent="0.25">
      <c r="F90" s="30"/>
      <c r="G90" s="30"/>
      <c r="H90" s="30"/>
      <c r="I90" s="30"/>
    </row>
    <row r="91" spans="6:9" x14ac:dyDescent="0.25">
      <c r="F91" s="30"/>
      <c r="G91" s="30"/>
      <c r="H91" s="30"/>
      <c r="I91" s="30"/>
    </row>
    <row r="92" spans="6:9" x14ac:dyDescent="0.25">
      <c r="F92" s="30"/>
      <c r="G92" s="30"/>
      <c r="H92" s="30"/>
      <c r="I92" s="30"/>
    </row>
    <row r="93" spans="6:9" x14ac:dyDescent="0.25">
      <c r="F93" s="30"/>
      <c r="G93" s="30"/>
      <c r="H93" s="30"/>
      <c r="I93" s="30"/>
    </row>
    <row r="94" spans="6:9" x14ac:dyDescent="0.25">
      <c r="F94" s="30"/>
      <c r="G94" s="30"/>
      <c r="H94" s="30"/>
      <c r="I94" s="30"/>
    </row>
    <row r="95" spans="6:9" x14ac:dyDescent="0.25">
      <c r="F95" s="30"/>
      <c r="G95" s="30"/>
      <c r="H95" s="30"/>
      <c r="I95" s="30"/>
    </row>
    <row r="96" spans="6:9" x14ac:dyDescent="0.25">
      <c r="F96" s="30"/>
      <c r="G96" s="30"/>
      <c r="H96" s="30"/>
      <c r="I96" s="30"/>
    </row>
    <row r="97" spans="6:9" x14ac:dyDescent="0.25">
      <c r="F97" s="30"/>
      <c r="G97" s="30"/>
      <c r="H97" s="30"/>
      <c r="I97" s="30"/>
    </row>
    <row r="98" spans="6:9" x14ac:dyDescent="0.25">
      <c r="F98" s="30"/>
      <c r="G98" s="30"/>
      <c r="H98" s="30"/>
      <c r="I98" s="30"/>
    </row>
    <row r="99" spans="6:9" x14ac:dyDescent="0.25">
      <c r="F99" s="30"/>
      <c r="G99" s="30"/>
      <c r="H99" s="30"/>
      <c r="I99" s="30"/>
    </row>
    <row r="100" spans="6:9" x14ac:dyDescent="0.25">
      <c r="F100" s="30"/>
      <c r="G100" s="30"/>
      <c r="H100" s="30"/>
      <c r="I100" s="30"/>
    </row>
    <row r="101" spans="6:9" x14ac:dyDescent="0.25">
      <c r="F101" s="30"/>
      <c r="G101" s="30"/>
      <c r="H101" s="30"/>
      <c r="I101" s="30"/>
    </row>
    <row r="102" spans="6:9" x14ac:dyDescent="0.25">
      <c r="F102" s="30"/>
      <c r="G102" s="30"/>
      <c r="H102" s="30"/>
      <c r="I102" s="30"/>
    </row>
    <row r="103" spans="6:9" x14ac:dyDescent="0.25">
      <c r="F103" s="30"/>
      <c r="G103" s="30"/>
      <c r="H103" s="30"/>
      <c r="I103" s="30"/>
    </row>
    <row r="104" spans="6:9" x14ac:dyDescent="0.25">
      <c r="F104" s="30"/>
      <c r="G104" s="30"/>
      <c r="H104" s="30"/>
      <c r="I104" s="30"/>
    </row>
    <row r="105" spans="6:9" x14ac:dyDescent="0.25">
      <c r="F105" s="30"/>
      <c r="G105" s="30"/>
      <c r="H105" s="30"/>
      <c r="I105" s="30"/>
    </row>
    <row r="106" spans="6:9" x14ac:dyDescent="0.25">
      <c r="F106" s="30"/>
      <c r="G106" s="30"/>
      <c r="H106" s="30"/>
      <c r="I106" s="30"/>
    </row>
    <row r="107" spans="6:9" x14ac:dyDescent="0.25">
      <c r="F107" s="30"/>
      <c r="G107" s="30"/>
      <c r="H107" s="30"/>
      <c r="I107" s="30"/>
    </row>
    <row r="108" spans="6:9" x14ac:dyDescent="0.25">
      <c r="F108" s="30"/>
      <c r="G108" s="30"/>
      <c r="H108" s="30"/>
      <c r="I108" s="30"/>
    </row>
    <row r="109" spans="6:9" x14ac:dyDescent="0.25">
      <c r="F109" s="30"/>
      <c r="G109" s="30"/>
      <c r="H109" s="30"/>
      <c r="I109" s="30"/>
    </row>
    <row r="110" spans="6:9" x14ac:dyDescent="0.25">
      <c r="F110" s="30"/>
      <c r="G110" s="30"/>
      <c r="H110" s="30"/>
      <c r="I110" s="30"/>
    </row>
    <row r="111" spans="6:9" x14ac:dyDescent="0.25">
      <c r="F111" s="30"/>
      <c r="G111" s="30"/>
      <c r="H111" s="30"/>
      <c r="I111" s="30"/>
    </row>
    <row r="112" spans="6:9" x14ac:dyDescent="0.25">
      <c r="F112" s="30"/>
      <c r="G112" s="30"/>
      <c r="H112" s="30"/>
      <c r="I112" s="30"/>
    </row>
    <row r="113" spans="6:9" x14ac:dyDescent="0.25">
      <c r="F113" s="30"/>
      <c r="G113" s="30"/>
      <c r="H113" s="30"/>
      <c r="I113" s="30"/>
    </row>
    <row r="114" spans="6:9" x14ac:dyDescent="0.25">
      <c r="F114" s="30"/>
      <c r="G114" s="30"/>
      <c r="H114" s="30"/>
      <c r="I114" s="30"/>
    </row>
    <row r="115" spans="6:9" x14ac:dyDescent="0.25">
      <c r="F115" s="30"/>
      <c r="G115" s="30"/>
      <c r="H115" s="30"/>
      <c r="I115" s="30"/>
    </row>
    <row r="116" spans="6:9" x14ac:dyDescent="0.25">
      <c r="F116" s="30"/>
      <c r="G116" s="30"/>
      <c r="H116" s="30"/>
      <c r="I116" s="30"/>
    </row>
    <row r="117" spans="6:9" x14ac:dyDescent="0.25">
      <c r="F117" s="30"/>
      <c r="G117" s="30"/>
      <c r="H117" s="30"/>
      <c r="I117" s="30"/>
    </row>
    <row r="118" spans="6:9" x14ac:dyDescent="0.25">
      <c r="F118" s="30"/>
      <c r="G118" s="30"/>
      <c r="H118" s="30"/>
      <c r="I118" s="30"/>
    </row>
    <row r="119" spans="6:9" x14ac:dyDescent="0.25">
      <c r="F119" s="30"/>
      <c r="G119" s="30"/>
      <c r="H119" s="30"/>
      <c r="I119" s="30"/>
    </row>
    <row r="120" spans="6:9" x14ac:dyDescent="0.25">
      <c r="F120" s="30"/>
      <c r="G120" s="30"/>
      <c r="H120" s="30"/>
      <c r="I120" s="30"/>
    </row>
    <row r="121" spans="6:9" x14ac:dyDescent="0.25">
      <c r="F121" s="30"/>
      <c r="G121" s="30"/>
      <c r="H121" s="30"/>
      <c r="I121" s="30"/>
    </row>
    <row r="122" spans="6:9" x14ac:dyDescent="0.25">
      <c r="F122" s="30"/>
      <c r="G122" s="30"/>
      <c r="H122" s="30"/>
      <c r="I122" s="30"/>
    </row>
    <row r="123" spans="6:9" x14ac:dyDescent="0.25">
      <c r="F123" s="30"/>
      <c r="G123" s="30"/>
      <c r="H123" s="30"/>
      <c r="I123" s="30"/>
    </row>
    <row r="124" spans="6:9" x14ac:dyDescent="0.25">
      <c r="F124" s="30"/>
      <c r="G124" s="30"/>
      <c r="H124" s="30"/>
      <c r="I124" s="30"/>
    </row>
    <row r="125" spans="6:9" x14ac:dyDescent="0.25">
      <c r="F125" s="30"/>
      <c r="G125" s="30"/>
      <c r="H125" s="30"/>
      <c r="I125" s="30"/>
    </row>
    <row r="126" spans="6:9" x14ac:dyDescent="0.25">
      <c r="F126" s="30"/>
      <c r="G126" s="30"/>
      <c r="H126" s="30"/>
      <c r="I126" s="30"/>
    </row>
    <row r="127" spans="6:9" x14ac:dyDescent="0.25">
      <c r="F127" s="30"/>
      <c r="G127" s="30"/>
      <c r="H127" s="30"/>
      <c r="I127" s="30"/>
    </row>
    <row r="128" spans="6:9" x14ac:dyDescent="0.25">
      <c r="F128" s="30"/>
      <c r="G128" s="30"/>
      <c r="H128" s="30"/>
      <c r="I128" s="30"/>
    </row>
    <row r="129" spans="6:9" x14ac:dyDescent="0.25">
      <c r="F129" s="30"/>
      <c r="G129" s="30"/>
      <c r="H129" s="30"/>
      <c r="I129" s="30"/>
    </row>
    <row r="130" spans="6:9" x14ac:dyDescent="0.25">
      <c r="F130" s="30"/>
      <c r="G130" s="30"/>
      <c r="H130" s="30"/>
      <c r="I130" s="30"/>
    </row>
    <row r="131" spans="6:9" x14ac:dyDescent="0.25">
      <c r="F131" s="30"/>
      <c r="G131" s="30"/>
      <c r="H131" s="30"/>
      <c r="I131" s="30"/>
    </row>
    <row r="132" spans="6:9" x14ac:dyDescent="0.25">
      <c r="F132" s="30"/>
      <c r="G132" s="30"/>
      <c r="H132" s="30"/>
      <c r="I132" s="30"/>
    </row>
    <row r="133" spans="6:9" x14ac:dyDescent="0.25">
      <c r="F133" s="30"/>
      <c r="G133" s="30"/>
      <c r="H133" s="30"/>
      <c r="I133" s="30"/>
    </row>
    <row r="134" spans="6:9" x14ac:dyDescent="0.25">
      <c r="F134" s="30"/>
      <c r="G134" s="30"/>
      <c r="H134" s="30"/>
      <c r="I134" s="30"/>
    </row>
    <row r="135" spans="6:9" x14ac:dyDescent="0.25">
      <c r="F135" s="30"/>
      <c r="G135" s="30"/>
      <c r="H135" s="30"/>
      <c r="I135" s="30"/>
    </row>
    <row r="136" spans="6:9" x14ac:dyDescent="0.25">
      <c r="F136" s="30"/>
      <c r="G136" s="30"/>
      <c r="H136" s="30"/>
      <c r="I136" s="30"/>
    </row>
    <row r="137" spans="6:9" x14ac:dyDescent="0.25">
      <c r="F137" s="30"/>
      <c r="G137" s="30"/>
      <c r="H137" s="30"/>
      <c r="I137" s="30"/>
    </row>
    <row r="138" spans="6:9" x14ac:dyDescent="0.25">
      <c r="F138" s="30"/>
      <c r="G138" s="30"/>
      <c r="H138" s="30"/>
      <c r="I138" s="30"/>
    </row>
    <row r="139" spans="6:9" x14ac:dyDescent="0.25">
      <c r="F139" s="30"/>
      <c r="G139" s="30"/>
      <c r="H139" s="30"/>
      <c r="I139" s="30"/>
    </row>
    <row r="140" spans="6:9" x14ac:dyDescent="0.25">
      <c r="F140" s="30"/>
      <c r="G140" s="30"/>
      <c r="H140" s="30"/>
      <c r="I140" s="30"/>
    </row>
    <row r="141" spans="6:9" x14ac:dyDescent="0.25">
      <c r="F141" s="30"/>
      <c r="G141" s="30"/>
      <c r="H141" s="30"/>
      <c r="I141" s="30"/>
    </row>
    <row r="142" spans="6:9" x14ac:dyDescent="0.25">
      <c r="F142" s="30"/>
      <c r="G142" s="30"/>
      <c r="H142" s="30"/>
      <c r="I142" s="30"/>
    </row>
    <row r="143" spans="6:9" x14ac:dyDescent="0.25">
      <c r="F143" s="30"/>
      <c r="G143" s="30"/>
      <c r="H143" s="30"/>
      <c r="I143" s="30"/>
    </row>
    <row r="144" spans="6:9" x14ac:dyDescent="0.25">
      <c r="F144" s="30"/>
      <c r="G144" s="30"/>
      <c r="H144" s="30"/>
      <c r="I144" s="30"/>
    </row>
    <row r="145" spans="6:9" x14ac:dyDescent="0.25">
      <c r="F145" s="30"/>
      <c r="G145" s="30"/>
      <c r="H145" s="30"/>
      <c r="I145" s="30"/>
    </row>
    <row r="146" spans="6:9" x14ac:dyDescent="0.25">
      <c r="F146" s="30"/>
      <c r="G146" s="30"/>
      <c r="H146" s="30"/>
      <c r="I146" s="30"/>
    </row>
    <row r="147" spans="6:9" x14ac:dyDescent="0.25">
      <c r="F147" s="30"/>
      <c r="G147" s="30"/>
      <c r="H147" s="30"/>
      <c r="I147" s="30"/>
    </row>
    <row r="148" spans="6:9" x14ac:dyDescent="0.25">
      <c r="F148" s="30"/>
      <c r="G148" s="30"/>
      <c r="H148" s="30"/>
      <c r="I148" s="30"/>
    </row>
    <row r="149" spans="6:9" x14ac:dyDescent="0.25">
      <c r="F149" s="30"/>
      <c r="G149" s="30"/>
      <c r="H149" s="30"/>
      <c r="I149" s="30"/>
    </row>
    <row r="150" spans="6:9" x14ac:dyDescent="0.25">
      <c r="F150" s="30"/>
      <c r="G150" s="30"/>
      <c r="H150" s="30"/>
      <c r="I150" s="30"/>
    </row>
    <row r="151" spans="6:9" x14ac:dyDescent="0.25">
      <c r="F151" s="30"/>
      <c r="G151" s="30"/>
      <c r="H151" s="30"/>
      <c r="I151" s="30"/>
    </row>
    <row r="152" spans="6:9" x14ac:dyDescent="0.25">
      <c r="F152" s="30"/>
      <c r="G152" s="30"/>
      <c r="H152" s="30"/>
      <c r="I152" s="30"/>
    </row>
    <row r="153" spans="6:9" x14ac:dyDescent="0.25">
      <c r="F153" s="30"/>
      <c r="G153" s="30"/>
      <c r="H153" s="30"/>
      <c r="I153" s="30"/>
    </row>
    <row r="154" spans="6:9" x14ac:dyDescent="0.25">
      <c r="F154" s="30"/>
      <c r="G154" s="30"/>
      <c r="H154" s="30"/>
      <c r="I154" s="30"/>
    </row>
    <row r="155" spans="6:9" x14ac:dyDescent="0.25">
      <c r="F155" s="30"/>
      <c r="G155" s="30"/>
      <c r="H155" s="30"/>
      <c r="I155" s="30"/>
    </row>
    <row r="156" spans="6:9" x14ac:dyDescent="0.25">
      <c r="F156" s="30"/>
      <c r="G156" s="30"/>
      <c r="H156" s="30"/>
      <c r="I156" s="30"/>
    </row>
    <row r="157" spans="6:9" x14ac:dyDescent="0.25">
      <c r="F157" s="30"/>
      <c r="G157" s="30"/>
      <c r="H157" s="30"/>
      <c r="I157" s="30"/>
    </row>
    <row r="158" spans="6:9" x14ac:dyDescent="0.25">
      <c r="F158" s="30"/>
      <c r="G158" s="30"/>
      <c r="H158" s="30"/>
      <c r="I158" s="30"/>
    </row>
    <row r="159" spans="6:9" x14ac:dyDescent="0.25">
      <c r="F159" s="30"/>
      <c r="G159" s="30"/>
      <c r="H159" s="30"/>
      <c r="I159" s="30"/>
    </row>
    <row r="160" spans="6:9" x14ac:dyDescent="0.25">
      <c r="F160" s="30"/>
      <c r="G160" s="30"/>
      <c r="H160" s="30"/>
      <c r="I160" s="30"/>
    </row>
    <row r="161" spans="6:9" x14ac:dyDescent="0.25">
      <c r="F161" s="30"/>
      <c r="G161" s="30"/>
      <c r="H161" s="30"/>
      <c r="I161" s="30"/>
    </row>
    <row r="162" spans="6:9" x14ac:dyDescent="0.25">
      <c r="F162" s="30"/>
      <c r="G162" s="30"/>
      <c r="H162" s="30"/>
      <c r="I162" s="30"/>
    </row>
    <row r="163" spans="6:9" x14ac:dyDescent="0.25">
      <c r="F163" s="30"/>
      <c r="G163" s="30"/>
      <c r="H163" s="30"/>
      <c r="I163" s="30"/>
    </row>
    <row r="164" spans="6:9" x14ac:dyDescent="0.25">
      <c r="F164" s="30"/>
      <c r="G164" s="30"/>
      <c r="H164" s="30"/>
      <c r="I164" s="30"/>
    </row>
    <row r="165" spans="6:9" x14ac:dyDescent="0.25">
      <c r="F165" s="30"/>
      <c r="G165" s="30"/>
      <c r="H165" s="30"/>
      <c r="I165" s="30"/>
    </row>
    <row r="166" spans="6:9" x14ac:dyDescent="0.25">
      <c r="F166" s="30"/>
      <c r="G166" s="30"/>
      <c r="H166" s="30"/>
      <c r="I166" s="30"/>
    </row>
    <row r="167" spans="6:9" x14ac:dyDescent="0.25">
      <c r="F167" s="30"/>
      <c r="G167" s="30"/>
      <c r="H167" s="30"/>
      <c r="I167" s="30"/>
    </row>
    <row r="168" spans="6:9" x14ac:dyDescent="0.25">
      <c r="F168" s="30"/>
      <c r="G168" s="30"/>
      <c r="H168" s="30"/>
      <c r="I168" s="30"/>
    </row>
    <row r="169" spans="6:9" x14ac:dyDescent="0.25">
      <c r="F169" s="30"/>
      <c r="G169" s="30"/>
      <c r="H169" s="30"/>
      <c r="I169" s="30"/>
    </row>
    <row r="170" spans="6:9" x14ac:dyDescent="0.25">
      <c r="F170" s="30"/>
      <c r="G170" s="30"/>
      <c r="H170" s="30"/>
      <c r="I170" s="30"/>
    </row>
    <row r="171" spans="6:9" x14ac:dyDescent="0.25">
      <c r="F171" s="30"/>
      <c r="G171" s="30"/>
      <c r="H171" s="30"/>
      <c r="I171" s="30"/>
    </row>
    <row r="172" spans="6:9" x14ac:dyDescent="0.25">
      <c r="F172" s="30"/>
      <c r="G172" s="30"/>
      <c r="H172" s="30"/>
      <c r="I172" s="30"/>
    </row>
    <row r="173" spans="6:9" x14ac:dyDescent="0.25">
      <c r="F173" s="30"/>
      <c r="G173" s="30"/>
      <c r="H173" s="30"/>
      <c r="I173" s="30"/>
    </row>
    <row r="174" spans="6:9" x14ac:dyDescent="0.25">
      <c r="F174" s="30"/>
      <c r="G174" s="30"/>
      <c r="H174" s="30"/>
      <c r="I174" s="30"/>
    </row>
    <row r="175" spans="6:9" x14ac:dyDescent="0.25">
      <c r="F175" s="30"/>
      <c r="G175" s="30"/>
      <c r="H175" s="30"/>
      <c r="I175" s="30"/>
    </row>
    <row r="176" spans="6:9" x14ac:dyDescent="0.25">
      <c r="F176" s="30"/>
      <c r="G176" s="30"/>
      <c r="H176" s="30"/>
      <c r="I176" s="30"/>
    </row>
    <row r="177" spans="6:9" x14ac:dyDescent="0.25">
      <c r="F177" s="30"/>
      <c r="G177" s="30"/>
      <c r="H177" s="30"/>
      <c r="I177" s="30"/>
    </row>
    <row r="178" spans="6:9" x14ac:dyDescent="0.25">
      <c r="F178" s="30"/>
      <c r="G178" s="30"/>
      <c r="H178" s="30"/>
      <c r="I178" s="30"/>
    </row>
    <row r="179" spans="6:9" x14ac:dyDescent="0.25">
      <c r="F179" s="30"/>
      <c r="G179" s="30"/>
      <c r="H179" s="30"/>
      <c r="I179" s="30"/>
    </row>
    <row r="180" spans="6:9" x14ac:dyDescent="0.25">
      <c r="F180" s="30"/>
      <c r="G180" s="30"/>
      <c r="H180" s="30"/>
      <c r="I180" s="30"/>
    </row>
    <row r="181" spans="6:9" x14ac:dyDescent="0.25">
      <c r="F181" s="30"/>
      <c r="G181" s="30"/>
      <c r="H181" s="30"/>
      <c r="I181" s="30"/>
    </row>
    <row r="182" spans="6:9" x14ac:dyDescent="0.25">
      <c r="F182" s="30"/>
      <c r="G182" s="30"/>
      <c r="H182" s="30"/>
      <c r="I182" s="30"/>
    </row>
    <row r="183" spans="6:9" x14ac:dyDescent="0.25">
      <c r="F183" s="30"/>
      <c r="G183" s="30"/>
      <c r="H183" s="30"/>
      <c r="I183" s="30"/>
    </row>
    <row r="184" spans="6:9" x14ac:dyDescent="0.25">
      <c r="F184" s="30"/>
      <c r="G184" s="30"/>
      <c r="H184" s="30"/>
      <c r="I184" s="30"/>
    </row>
    <row r="185" spans="6:9" x14ac:dyDescent="0.25">
      <c r="F185" s="30"/>
      <c r="G185" s="30"/>
      <c r="H185" s="30"/>
      <c r="I185" s="30"/>
    </row>
    <row r="186" spans="6:9" x14ac:dyDescent="0.25">
      <c r="F186" s="30"/>
      <c r="G186" s="30"/>
      <c r="H186" s="30"/>
      <c r="I186" s="30"/>
    </row>
    <row r="187" spans="6:9" x14ac:dyDescent="0.25">
      <c r="F187" s="30"/>
      <c r="G187" s="30"/>
      <c r="H187" s="30"/>
      <c r="I187" s="30"/>
    </row>
    <row r="188" spans="6:9" x14ac:dyDescent="0.25">
      <c r="F188" s="30"/>
      <c r="G188" s="30"/>
      <c r="H188" s="30"/>
      <c r="I188" s="30"/>
    </row>
    <row r="189" spans="6:9" x14ac:dyDescent="0.25">
      <c r="F189" s="30"/>
      <c r="G189" s="30"/>
      <c r="H189" s="30"/>
      <c r="I189" s="30"/>
    </row>
    <row r="190" spans="6:9" x14ac:dyDescent="0.25">
      <c r="F190" s="30"/>
      <c r="G190" s="30"/>
      <c r="H190" s="30"/>
      <c r="I190" s="30"/>
    </row>
    <row r="191" spans="6:9" x14ac:dyDescent="0.25">
      <c r="F191" s="30"/>
      <c r="G191" s="30"/>
      <c r="H191" s="30"/>
      <c r="I191" s="30"/>
    </row>
    <row r="192" spans="6:9" x14ac:dyDescent="0.25">
      <c r="F192" s="30"/>
      <c r="G192" s="30"/>
      <c r="H192" s="30"/>
      <c r="I192" s="30"/>
    </row>
    <row r="193" spans="6:9" x14ac:dyDescent="0.25">
      <c r="F193" s="30"/>
      <c r="G193" s="30"/>
      <c r="H193" s="30"/>
      <c r="I193" s="30"/>
    </row>
    <row r="194" spans="6:9" x14ac:dyDescent="0.25">
      <c r="F194" s="30"/>
      <c r="G194" s="30"/>
      <c r="H194" s="30"/>
      <c r="I194" s="30"/>
    </row>
    <row r="195" spans="6:9" x14ac:dyDescent="0.25">
      <c r="F195" s="30"/>
      <c r="G195" s="30"/>
      <c r="H195" s="30"/>
      <c r="I195" s="30"/>
    </row>
    <row r="196" spans="6:9" x14ac:dyDescent="0.25">
      <c r="F196" s="30"/>
      <c r="G196" s="30"/>
      <c r="H196" s="30"/>
      <c r="I196" s="30"/>
    </row>
    <row r="197" spans="6:9" x14ac:dyDescent="0.25">
      <c r="F197" s="30"/>
      <c r="G197" s="30"/>
      <c r="H197" s="30"/>
      <c r="I197" s="30"/>
    </row>
    <row r="198" spans="6:9" x14ac:dyDescent="0.25">
      <c r="F198" s="30"/>
      <c r="G198" s="30"/>
      <c r="H198" s="30"/>
      <c r="I198" s="30"/>
    </row>
    <row r="199" spans="6:9" x14ac:dyDescent="0.25">
      <c r="F199" s="30"/>
      <c r="G199" s="30"/>
      <c r="H199" s="30"/>
      <c r="I199" s="30"/>
    </row>
    <row r="200" spans="6:9" x14ac:dyDescent="0.25">
      <c r="F200" s="30"/>
      <c r="G200" s="30"/>
      <c r="H200" s="30"/>
      <c r="I200" s="30"/>
    </row>
    <row r="201" spans="6:9" x14ac:dyDescent="0.25">
      <c r="F201" s="30"/>
      <c r="G201" s="30"/>
      <c r="H201" s="30"/>
      <c r="I201" s="30"/>
    </row>
    <row r="202" spans="6:9" x14ac:dyDescent="0.25">
      <c r="F202" s="30"/>
      <c r="G202" s="30"/>
      <c r="H202" s="30"/>
      <c r="I202" s="30"/>
    </row>
    <row r="203" spans="6:9" x14ac:dyDescent="0.25">
      <c r="F203" s="30"/>
      <c r="G203" s="30"/>
      <c r="H203" s="30"/>
      <c r="I203" s="30"/>
    </row>
    <row r="204" spans="6:9" x14ac:dyDescent="0.25">
      <c r="F204" s="30"/>
      <c r="G204" s="30"/>
      <c r="H204" s="30"/>
      <c r="I204" s="30"/>
    </row>
    <row r="205" spans="6:9" x14ac:dyDescent="0.25">
      <c r="F205" s="30"/>
      <c r="G205" s="30"/>
      <c r="H205" s="30"/>
      <c r="I205" s="30"/>
    </row>
    <row r="206" spans="6:9" x14ac:dyDescent="0.25">
      <c r="F206" s="30"/>
      <c r="G206" s="30"/>
      <c r="H206" s="30"/>
      <c r="I206" s="30"/>
    </row>
    <row r="207" spans="6:9" x14ac:dyDescent="0.25">
      <c r="F207" s="30"/>
      <c r="G207" s="30"/>
      <c r="H207" s="30"/>
      <c r="I207" s="30"/>
    </row>
    <row r="208" spans="6:9" x14ac:dyDescent="0.25">
      <c r="F208" s="30"/>
      <c r="G208" s="30"/>
      <c r="H208" s="30"/>
      <c r="I208" s="30"/>
    </row>
    <row r="209" spans="6:9" x14ac:dyDescent="0.25">
      <c r="F209" s="30"/>
      <c r="G209" s="30"/>
      <c r="H209" s="30"/>
      <c r="I209" s="30"/>
    </row>
    <row r="210" spans="6:9" x14ac:dyDescent="0.25">
      <c r="F210" s="30"/>
      <c r="G210" s="30"/>
      <c r="H210" s="30"/>
      <c r="I210" s="30"/>
    </row>
    <row r="211" spans="6:9" x14ac:dyDescent="0.25">
      <c r="F211" s="30"/>
      <c r="G211" s="30"/>
      <c r="H211" s="30"/>
      <c r="I211" s="30"/>
    </row>
    <row r="212" spans="6:9" x14ac:dyDescent="0.25">
      <c r="F212" s="30"/>
      <c r="G212" s="30"/>
      <c r="H212" s="30"/>
      <c r="I212" s="30"/>
    </row>
    <row r="213" spans="6:9" x14ac:dyDescent="0.25">
      <c r="F213" s="30"/>
      <c r="G213" s="30"/>
      <c r="H213" s="30"/>
      <c r="I213" s="30"/>
    </row>
    <row r="214" spans="6:9" x14ac:dyDescent="0.25">
      <c r="F214" s="30"/>
      <c r="G214" s="30"/>
      <c r="H214" s="30"/>
      <c r="I214" s="30"/>
    </row>
    <row r="215" spans="6:9" x14ac:dyDescent="0.25">
      <c r="F215" s="30"/>
      <c r="G215" s="30"/>
      <c r="H215" s="30"/>
      <c r="I215" s="30"/>
    </row>
    <row r="216" spans="6:9" x14ac:dyDescent="0.25">
      <c r="F216" s="30"/>
      <c r="G216" s="30"/>
      <c r="H216" s="30"/>
      <c r="I216" s="30"/>
    </row>
    <row r="217" spans="6:9" x14ac:dyDescent="0.25">
      <c r="F217" s="30"/>
      <c r="G217" s="30"/>
      <c r="H217" s="30"/>
      <c r="I217" s="30"/>
    </row>
    <row r="218" spans="6:9" x14ac:dyDescent="0.25">
      <c r="F218" s="30"/>
      <c r="G218" s="30"/>
      <c r="H218" s="30"/>
      <c r="I218" s="30"/>
    </row>
    <row r="219" spans="6:9" x14ac:dyDescent="0.25">
      <c r="F219" s="30"/>
      <c r="G219" s="30"/>
      <c r="H219" s="30"/>
      <c r="I219" s="30"/>
    </row>
    <row r="220" spans="6:9" x14ac:dyDescent="0.25">
      <c r="F220" s="30"/>
      <c r="G220" s="30"/>
      <c r="H220" s="30"/>
      <c r="I220" s="30"/>
    </row>
    <row r="221" spans="6:9" x14ac:dyDescent="0.25">
      <c r="F221" s="30"/>
      <c r="G221" s="30"/>
      <c r="H221" s="30"/>
      <c r="I221" s="30"/>
    </row>
    <row r="222" spans="6:9" x14ac:dyDescent="0.25">
      <c r="F222" s="30"/>
      <c r="G222" s="30"/>
      <c r="H222" s="30"/>
      <c r="I222" s="30"/>
    </row>
    <row r="223" spans="6:9" x14ac:dyDescent="0.25">
      <c r="F223" s="30"/>
      <c r="G223" s="30"/>
      <c r="H223" s="30"/>
      <c r="I223" s="30"/>
    </row>
    <row r="224" spans="6:9" x14ac:dyDescent="0.25">
      <c r="F224" s="30"/>
      <c r="G224" s="30"/>
      <c r="H224" s="30"/>
      <c r="I224" s="30"/>
    </row>
    <row r="225" spans="6:9" x14ac:dyDescent="0.25">
      <c r="F225" s="30"/>
      <c r="G225" s="30"/>
      <c r="H225" s="30"/>
      <c r="I225" s="30"/>
    </row>
    <row r="226" spans="6:9" x14ac:dyDescent="0.25">
      <c r="F226" s="30"/>
      <c r="G226" s="30"/>
      <c r="H226" s="30"/>
      <c r="I226" s="30"/>
    </row>
    <row r="227" spans="6:9" x14ac:dyDescent="0.25">
      <c r="F227" s="30"/>
      <c r="G227" s="30"/>
      <c r="H227" s="30"/>
      <c r="I227" s="30"/>
    </row>
    <row r="228" spans="6:9" x14ac:dyDescent="0.25">
      <c r="F228" s="30"/>
      <c r="G228" s="30"/>
      <c r="H228" s="30"/>
      <c r="I228" s="30"/>
    </row>
    <row r="229" spans="6:9" x14ac:dyDescent="0.25">
      <c r="F229" s="30"/>
      <c r="G229" s="30"/>
      <c r="H229" s="30"/>
      <c r="I229" s="30"/>
    </row>
    <row r="230" spans="6:9" x14ac:dyDescent="0.25">
      <c r="F230" s="30"/>
      <c r="G230" s="30"/>
      <c r="H230" s="30"/>
      <c r="I230" s="30"/>
    </row>
    <row r="231" spans="6:9" x14ac:dyDescent="0.25">
      <c r="F231" s="30"/>
      <c r="G231" s="30"/>
      <c r="H231" s="30"/>
      <c r="I231" s="30"/>
    </row>
    <row r="232" spans="6:9" x14ac:dyDescent="0.25">
      <c r="F232" s="30"/>
      <c r="G232" s="30"/>
      <c r="H232" s="30"/>
      <c r="I232" s="30"/>
    </row>
    <row r="233" spans="6:9" x14ac:dyDescent="0.25">
      <c r="F233" s="30"/>
      <c r="G233" s="30"/>
      <c r="H233" s="30"/>
      <c r="I233" s="30"/>
    </row>
    <row r="234" spans="6:9" x14ac:dyDescent="0.25">
      <c r="F234" s="30"/>
      <c r="G234" s="30"/>
      <c r="H234" s="30"/>
      <c r="I234" s="30"/>
    </row>
    <row r="235" spans="6:9" x14ac:dyDescent="0.25">
      <c r="F235" s="30"/>
      <c r="G235" s="30"/>
      <c r="H235" s="30"/>
      <c r="I235" s="30"/>
    </row>
    <row r="236" spans="6:9" x14ac:dyDescent="0.25">
      <c r="F236" s="30"/>
      <c r="G236" s="30"/>
      <c r="H236" s="30"/>
      <c r="I236" s="30"/>
    </row>
    <row r="237" spans="6:9" x14ac:dyDescent="0.25">
      <c r="F237" s="30"/>
      <c r="G237" s="30"/>
      <c r="H237" s="30"/>
      <c r="I237" s="30"/>
    </row>
    <row r="238" spans="6:9" x14ac:dyDescent="0.25">
      <c r="F238" s="30"/>
      <c r="G238" s="30"/>
      <c r="H238" s="30"/>
      <c r="I238" s="30"/>
    </row>
    <row r="239" spans="6:9" x14ac:dyDescent="0.25">
      <c r="F239" s="30"/>
      <c r="G239" s="30"/>
      <c r="H239" s="30"/>
      <c r="I239" s="30"/>
    </row>
    <row r="240" spans="6:9" x14ac:dyDescent="0.25">
      <c r="F240" s="30"/>
      <c r="G240" s="30"/>
      <c r="H240" s="30"/>
      <c r="I240" s="30"/>
    </row>
    <row r="241" spans="6:9" x14ac:dyDescent="0.25">
      <c r="F241" s="30"/>
      <c r="G241" s="30"/>
      <c r="H241" s="30"/>
      <c r="I241" s="30"/>
    </row>
    <row r="242" spans="6:9" x14ac:dyDescent="0.25">
      <c r="F242" s="30"/>
      <c r="G242" s="30"/>
      <c r="H242" s="30"/>
      <c r="I242" s="30"/>
    </row>
    <row r="243" spans="6:9" x14ac:dyDescent="0.25">
      <c r="F243" s="30"/>
      <c r="G243" s="30"/>
      <c r="H243" s="30"/>
      <c r="I243" s="30"/>
    </row>
    <row r="244" spans="6:9" x14ac:dyDescent="0.25">
      <c r="F244" s="30"/>
      <c r="G244" s="30"/>
      <c r="H244" s="30"/>
      <c r="I244" s="30"/>
    </row>
    <row r="245" spans="6:9" x14ac:dyDescent="0.25">
      <c r="F245" s="30"/>
      <c r="G245" s="30"/>
      <c r="H245" s="30"/>
      <c r="I245" s="30"/>
    </row>
    <row r="246" spans="6:9" x14ac:dyDescent="0.25">
      <c r="F246" s="30"/>
      <c r="G246" s="30"/>
      <c r="H246" s="30"/>
      <c r="I246" s="30"/>
    </row>
    <row r="247" spans="6:9" x14ac:dyDescent="0.25">
      <c r="F247" s="30"/>
      <c r="G247" s="30"/>
      <c r="H247" s="30"/>
      <c r="I247" s="30"/>
    </row>
    <row r="248" spans="6:9" x14ac:dyDescent="0.25">
      <c r="F248" s="30"/>
      <c r="G248" s="30"/>
      <c r="H248" s="30"/>
      <c r="I248" s="30"/>
    </row>
    <row r="249" spans="6:9" x14ac:dyDescent="0.25">
      <c r="F249" s="30"/>
      <c r="G249" s="30"/>
      <c r="H249" s="30"/>
      <c r="I249" s="30"/>
    </row>
    <row r="250" spans="6:9" x14ac:dyDescent="0.25">
      <c r="F250" s="30"/>
      <c r="G250" s="30"/>
      <c r="H250" s="30"/>
      <c r="I250" s="30"/>
    </row>
    <row r="251" spans="6:9" x14ac:dyDescent="0.25">
      <c r="F251" s="30"/>
      <c r="G251" s="30"/>
      <c r="H251" s="30"/>
      <c r="I251" s="30"/>
    </row>
    <row r="252" spans="6:9" x14ac:dyDescent="0.25">
      <c r="F252" s="30"/>
      <c r="G252" s="30"/>
      <c r="H252" s="30"/>
      <c r="I252" s="30"/>
    </row>
    <row r="253" spans="6:9" x14ac:dyDescent="0.25">
      <c r="F253" s="30"/>
      <c r="G253" s="30"/>
      <c r="H253" s="30"/>
      <c r="I253" s="30"/>
    </row>
    <row r="254" spans="6:9" x14ac:dyDescent="0.25">
      <c r="F254" s="30"/>
      <c r="G254" s="30"/>
      <c r="H254" s="30"/>
      <c r="I254" s="30"/>
    </row>
    <row r="255" spans="6:9" x14ac:dyDescent="0.25">
      <c r="F255" s="30"/>
      <c r="G255" s="30"/>
      <c r="H255" s="30"/>
      <c r="I255" s="30"/>
    </row>
    <row r="256" spans="6:9" x14ac:dyDescent="0.25">
      <c r="F256" s="30"/>
      <c r="G256" s="30"/>
      <c r="H256" s="30"/>
      <c r="I256" s="30"/>
    </row>
    <row r="257" spans="6:9" x14ac:dyDescent="0.25">
      <c r="F257" s="30"/>
      <c r="G257" s="30"/>
      <c r="H257" s="30"/>
      <c r="I257" s="30"/>
    </row>
    <row r="258" spans="6:9" x14ac:dyDescent="0.25">
      <c r="F258" s="30"/>
      <c r="G258" s="30"/>
      <c r="H258" s="30"/>
      <c r="I258" s="30"/>
    </row>
    <row r="259" spans="6:9" x14ac:dyDescent="0.25">
      <c r="F259" s="30"/>
      <c r="G259" s="30"/>
      <c r="H259" s="30"/>
      <c r="I259" s="30"/>
    </row>
    <row r="260" spans="6:9" x14ac:dyDescent="0.25">
      <c r="F260" s="30"/>
      <c r="G260" s="30"/>
      <c r="H260" s="30"/>
      <c r="I260" s="30"/>
    </row>
    <row r="261" spans="6:9" x14ac:dyDescent="0.25">
      <c r="F261" s="30"/>
      <c r="G261" s="30"/>
      <c r="H261" s="30"/>
      <c r="I261" s="30"/>
    </row>
    <row r="262" spans="6:9" x14ac:dyDescent="0.25">
      <c r="F262" s="30"/>
      <c r="G262" s="30"/>
      <c r="H262" s="30"/>
      <c r="I262" s="30"/>
    </row>
    <row r="263" spans="6:9" x14ac:dyDescent="0.25">
      <c r="F263" s="30"/>
      <c r="G263" s="30"/>
      <c r="H263" s="30"/>
      <c r="I263" s="30"/>
    </row>
    <row r="264" spans="6:9" x14ac:dyDescent="0.25">
      <c r="F264" s="30"/>
      <c r="G264" s="30"/>
      <c r="H264" s="30"/>
      <c r="I264" s="30"/>
    </row>
    <row r="265" spans="6:9" x14ac:dyDescent="0.25">
      <c r="F265" s="30"/>
      <c r="G265" s="30"/>
      <c r="H265" s="30"/>
      <c r="I265" s="30"/>
    </row>
    <row r="266" spans="6:9" x14ac:dyDescent="0.25">
      <c r="F266" s="30"/>
      <c r="G266" s="30"/>
      <c r="H266" s="30"/>
      <c r="I266" s="30"/>
    </row>
    <row r="267" spans="6:9" x14ac:dyDescent="0.25">
      <c r="F267" s="30"/>
      <c r="G267" s="30"/>
      <c r="H267" s="30"/>
      <c r="I267" s="30"/>
    </row>
    <row r="268" spans="6:9" x14ac:dyDescent="0.25">
      <c r="F268" s="30"/>
      <c r="G268" s="30"/>
      <c r="H268" s="30"/>
      <c r="I268" s="30"/>
    </row>
    <row r="269" spans="6:9" x14ac:dyDescent="0.25">
      <c r="F269" s="30"/>
      <c r="G269" s="30"/>
      <c r="H269" s="30"/>
      <c r="I269" s="30"/>
    </row>
    <row r="270" spans="6:9" x14ac:dyDescent="0.25">
      <c r="F270" s="30"/>
      <c r="G270" s="30"/>
      <c r="H270" s="30"/>
      <c r="I270" s="30"/>
    </row>
    <row r="271" spans="6:9" x14ac:dyDescent="0.25">
      <c r="F271" s="30"/>
      <c r="G271" s="30"/>
      <c r="H271" s="30"/>
      <c r="I271" s="30"/>
    </row>
    <row r="272" spans="6:9" x14ac:dyDescent="0.25">
      <c r="F272" s="30"/>
      <c r="G272" s="30"/>
      <c r="H272" s="30"/>
      <c r="I272" s="30"/>
    </row>
    <row r="273" spans="6:9" x14ac:dyDescent="0.25">
      <c r="F273" s="30"/>
      <c r="G273" s="30"/>
      <c r="H273" s="30"/>
      <c r="I273" s="30"/>
    </row>
    <row r="274" spans="6:9" x14ac:dyDescent="0.25">
      <c r="F274" s="30"/>
      <c r="G274" s="30"/>
      <c r="H274" s="30"/>
      <c r="I274" s="30"/>
    </row>
    <row r="275" spans="6:9" x14ac:dyDescent="0.25">
      <c r="F275" s="30"/>
      <c r="G275" s="30"/>
      <c r="H275" s="30"/>
      <c r="I275" s="30"/>
    </row>
    <row r="276" spans="6:9" x14ac:dyDescent="0.25">
      <c r="F276" s="30"/>
      <c r="G276" s="30"/>
      <c r="H276" s="30"/>
      <c r="I276" s="30"/>
    </row>
    <row r="277" spans="6:9" x14ac:dyDescent="0.25">
      <c r="F277" s="30"/>
      <c r="G277" s="30"/>
      <c r="H277" s="30"/>
      <c r="I277" s="30"/>
    </row>
    <row r="278" spans="6:9" x14ac:dyDescent="0.25">
      <c r="F278" s="30"/>
      <c r="G278" s="30"/>
      <c r="H278" s="30"/>
      <c r="I278" s="30"/>
    </row>
    <row r="279" spans="6:9" x14ac:dyDescent="0.25">
      <c r="F279" s="30"/>
      <c r="G279" s="30"/>
      <c r="H279" s="30"/>
      <c r="I279" s="30"/>
    </row>
    <row r="280" spans="6:9" x14ac:dyDescent="0.25">
      <c r="F280" s="30"/>
      <c r="G280" s="30"/>
      <c r="H280" s="30"/>
      <c r="I280" s="30"/>
    </row>
    <row r="281" spans="6:9" x14ac:dyDescent="0.25">
      <c r="F281" s="30"/>
      <c r="G281" s="30"/>
      <c r="H281" s="30"/>
      <c r="I281" s="30"/>
    </row>
    <row r="282" spans="6:9" x14ac:dyDescent="0.25">
      <c r="F282" s="30"/>
      <c r="G282" s="30"/>
      <c r="H282" s="30"/>
      <c r="I282" s="30"/>
    </row>
    <row r="283" spans="6:9" x14ac:dyDescent="0.25">
      <c r="F283" s="30"/>
      <c r="G283" s="30"/>
      <c r="H283" s="30"/>
      <c r="I283" s="30"/>
    </row>
    <row r="284" spans="6:9" x14ac:dyDescent="0.25">
      <c r="F284" s="30"/>
      <c r="G284" s="30"/>
      <c r="H284" s="30"/>
      <c r="I284" s="30"/>
    </row>
    <row r="285" spans="6:9" x14ac:dyDescent="0.25">
      <c r="F285" s="30"/>
      <c r="G285" s="30"/>
      <c r="H285" s="30"/>
      <c r="I285" s="30"/>
    </row>
    <row r="286" spans="6:9" x14ac:dyDescent="0.25">
      <c r="F286" s="30"/>
      <c r="G286" s="30"/>
      <c r="H286" s="30"/>
      <c r="I286" s="30"/>
    </row>
    <row r="287" spans="6:9" x14ac:dyDescent="0.25">
      <c r="F287" s="30"/>
      <c r="G287" s="30"/>
      <c r="H287" s="30"/>
      <c r="I287" s="30"/>
    </row>
    <row r="288" spans="6:9" x14ac:dyDescent="0.25">
      <c r="F288" s="30"/>
      <c r="G288" s="30"/>
      <c r="H288" s="30"/>
      <c r="I288" s="30"/>
    </row>
    <row r="289" spans="6:9" x14ac:dyDescent="0.25">
      <c r="F289" s="30"/>
      <c r="G289" s="30"/>
      <c r="H289" s="30"/>
      <c r="I289" s="30"/>
    </row>
    <row r="290" spans="6:9" x14ac:dyDescent="0.25">
      <c r="F290" s="30"/>
      <c r="G290" s="30"/>
      <c r="H290" s="30"/>
      <c r="I290" s="30"/>
    </row>
    <row r="291" spans="6:9" x14ac:dyDescent="0.25">
      <c r="F291" s="30"/>
      <c r="G291" s="30"/>
      <c r="H291" s="30"/>
      <c r="I291" s="30"/>
    </row>
    <row r="292" spans="6:9" x14ac:dyDescent="0.25">
      <c r="F292" s="30"/>
      <c r="G292" s="30"/>
      <c r="H292" s="30"/>
      <c r="I292" s="30"/>
    </row>
    <row r="293" spans="6:9" x14ac:dyDescent="0.25">
      <c r="F293" s="30"/>
      <c r="G293" s="30"/>
      <c r="H293" s="30"/>
      <c r="I293" s="30"/>
    </row>
    <row r="294" spans="6:9" x14ac:dyDescent="0.25">
      <c r="F294" s="30"/>
      <c r="G294" s="30"/>
      <c r="H294" s="30"/>
      <c r="I294" s="30"/>
    </row>
    <row r="295" spans="6:9" x14ac:dyDescent="0.25">
      <c r="F295" s="30"/>
      <c r="G295" s="30"/>
      <c r="H295" s="30"/>
      <c r="I295" s="30"/>
    </row>
    <row r="296" spans="6:9" x14ac:dyDescent="0.25">
      <c r="F296" s="30"/>
      <c r="G296" s="30"/>
      <c r="H296" s="30"/>
      <c r="I296" s="30"/>
    </row>
    <row r="297" spans="6:9" x14ac:dyDescent="0.25">
      <c r="F297" s="30"/>
      <c r="G297" s="30"/>
      <c r="H297" s="30"/>
      <c r="I297" s="30"/>
    </row>
    <row r="298" spans="6:9" x14ac:dyDescent="0.25">
      <c r="F298" s="30"/>
      <c r="G298" s="30"/>
      <c r="H298" s="30"/>
      <c r="I298" s="30"/>
    </row>
    <row r="299" spans="6:9" x14ac:dyDescent="0.25">
      <c r="F299" s="30"/>
      <c r="G299" s="30"/>
      <c r="H299" s="30"/>
      <c r="I299" s="30"/>
    </row>
    <row r="300" spans="6:9" x14ac:dyDescent="0.25">
      <c r="F300" s="30"/>
      <c r="G300" s="30"/>
      <c r="H300" s="30"/>
      <c r="I300" s="30"/>
    </row>
    <row r="301" spans="6:9" x14ac:dyDescent="0.25">
      <c r="F301" s="30"/>
      <c r="G301" s="30"/>
      <c r="H301" s="30"/>
      <c r="I301" s="30"/>
    </row>
    <row r="302" spans="6:9" x14ac:dyDescent="0.25">
      <c r="F302" s="30"/>
      <c r="G302" s="30"/>
      <c r="H302" s="30"/>
      <c r="I302" s="30"/>
    </row>
    <row r="303" spans="6:9" x14ac:dyDescent="0.25">
      <c r="F303" s="30"/>
      <c r="G303" s="30"/>
      <c r="H303" s="30"/>
      <c r="I303" s="30"/>
    </row>
    <row r="304" spans="6:9" x14ac:dyDescent="0.25">
      <c r="F304" s="30"/>
      <c r="G304" s="30"/>
      <c r="H304" s="30"/>
      <c r="I304" s="30"/>
    </row>
    <row r="305" spans="6:9" x14ac:dyDescent="0.25">
      <c r="F305" s="30"/>
      <c r="G305" s="30"/>
      <c r="H305" s="30"/>
      <c r="I305" s="30"/>
    </row>
    <row r="306" spans="6:9" x14ac:dyDescent="0.25">
      <c r="F306" s="30"/>
      <c r="G306" s="30"/>
      <c r="H306" s="30"/>
      <c r="I306" s="30"/>
    </row>
    <row r="307" spans="6:9" x14ac:dyDescent="0.25">
      <c r="F307" s="30"/>
      <c r="G307" s="30"/>
      <c r="H307" s="30"/>
      <c r="I307" s="30"/>
    </row>
    <row r="308" spans="6:9" x14ac:dyDescent="0.25">
      <c r="F308" s="30"/>
      <c r="G308" s="30"/>
      <c r="H308" s="30"/>
      <c r="I308" s="30"/>
    </row>
    <row r="309" spans="6:9" x14ac:dyDescent="0.25">
      <c r="F309" s="30"/>
      <c r="G309" s="30"/>
      <c r="H309" s="30"/>
      <c r="I309" s="30"/>
    </row>
    <row r="310" spans="6:9" x14ac:dyDescent="0.25">
      <c r="F310" s="30"/>
      <c r="G310" s="30"/>
      <c r="H310" s="30"/>
      <c r="I310" s="30"/>
    </row>
    <row r="311" spans="6:9" x14ac:dyDescent="0.25">
      <c r="F311" s="30"/>
      <c r="G311" s="30"/>
      <c r="H311" s="30"/>
      <c r="I311" s="30"/>
    </row>
    <row r="312" spans="6:9" x14ac:dyDescent="0.25">
      <c r="F312" s="30"/>
      <c r="G312" s="30"/>
      <c r="H312" s="30"/>
      <c r="I312" s="30"/>
    </row>
    <row r="313" spans="6:9" x14ac:dyDescent="0.25">
      <c r="F313" s="30"/>
      <c r="G313" s="30"/>
      <c r="H313" s="30"/>
      <c r="I313" s="30"/>
    </row>
    <row r="314" spans="6:9" x14ac:dyDescent="0.25">
      <c r="F314" s="30"/>
      <c r="G314" s="30"/>
      <c r="H314" s="30"/>
      <c r="I314" s="30"/>
    </row>
    <row r="315" spans="6:9" x14ac:dyDescent="0.25">
      <c r="F315" s="30"/>
      <c r="G315" s="30"/>
      <c r="H315" s="30"/>
      <c r="I315" s="30"/>
    </row>
    <row r="316" spans="6:9" x14ac:dyDescent="0.25">
      <c r="F316" s="30"/>
      <c r="G316" s="30"/>
      <c r="H316" s="30"/>
      <c r="I316" s="30"/>
    </row>
    <row r="317" spans="6:9" x14ac:dyDescent="0.25">
      <c r="F317" s="30"/>
      <c r="G317" s="30"/>
      <c r="H317" s="30"/>
      <c r="I317" s="30"/>
    </row>
    <row r="318" spans="6:9" x14ac:dyDescent="0.25">
      <c r="F318" s="30"/>
      <c r="G318" s="30"/>
      <c r="H318" s="30"/>
      <c r="I318" s="30"/>
    </row>
    <row r="319" spans="6:9" x14ac:dyDescent="0.25">
      <c r="F319" s="30"/>
      <c r="G319" s="30"/>
      <c r="H319" s="30"/>
      <c r="I319" s="30"/>
    </row>
    <row r="320" spans="6:9" x14ac:dyDescent="0.25">
      <c r="F320" s="30"/>
      <c r="G320" s="30"/>
      <c r="H320" s="30"/>
      <c r="I320" s="30"/>
    </row>
    <row r="321" spans="6:9" x14ac:dyDescent="0.25">
      <c r="F321" s="30"/>
      <c r="G321" s="30"/>
      <c r="H321" s="30"/>
      <c r="I321" s="30"/>
    </row>
    <row r="322" spans="6:9" x14ac:dyDescent="0.25">
      <c r="F322" s="30"/>
      <c r="G322" s="30"/>
      <c r="H322" s="30"/>
      <c r="I322" s="30"/>
    </row>
    <row r="323" spans="6:9" x14ac:dyDescent="0.25">
      <c r="F323" s="30"/>
      <c r="G323" s="30"/>
      <c r="H323" s="30"/>
      <c r="I323" s="30"/>
    </row>
    <row r="324" spans="6:9" x14ac:dyDescent="0.25">
      <c r="F324" s="30"/>
      <c r="G324" s="30"/>
      <c r="H324" s="30"/>
      <c r="I324" s="30"/>
    </row>
    <row r="325" spans="6:9" x14ac:dyDescent="0.25">
      <c r="F325" s="30"/>
      <c r="G325" s="30"/>
      <c r="H325" s="30"/>
      <c r="I325" s="30"/>
    </row>
    <row r="326" spans="6:9" x14ac:dyDescent="0.25">
      <c r="F326" s="30"/>
      <c r="G326" s="30"/>
      <c r="H326" s="30"/>
      <c r="I326" s="30"/>
    </row>
    <row r="327" spans="6:9" x14ac:dyDescent="0.25">
      <c r="F327" s="30"/>
      <c r="G327" s="30"/>
      <c r="H327" s="30"/>
      <c r="I327" s="30"/>
    </row>
    <row r="328" spans="6:9" x14ac:dyDescent="0.25">
      <c r="F328" s="30"/>
      <c r="G328" s="30"/>
      <c r="H328" s="30"/>
      <c r="I328" s="30"/>
    </row>
    <row r="329" spans="6:9" x14ac:dyDescent="0.25">
      <c r="F329" s="30"/>
      <c r="G329" s="30"/>
      <c r="H329" s="30"/>
      <c r="I329" s="30"/>
    </row>
    <row r="330" spans="6:9" x14ac:dyDescent="0.25">
      <c r="F330" s="30"/>
      <c r="G330" s="30"/>
      <c r="H330" s="30"/>
      <c r="I330" s="30"/>
    </row>
    <row r="331" spans="6:9" x14ac:dyDescent="0.25">
      <c r="F331" s="30"/>
      <c r="G331" s="30"/>
      <c r="H331" s="30"/>
      <c r="I331" s="30"/>
    </row>
    <row r="332" spans="6:9" x14ac:dyDescent="0.25">
      <c r="F332" s="30"/>
      <c r="G332" s="30"/>
      <c r="H332" s="30"/>
      <c r="I332" s="30"/>
    </row>
    <row r="333" spans="6:9" x14ac:dyDescent="0.25">
      <c r="F333" s="30"/>
      <c r="G333" s="30"/>
      <c r="H333" s="30"/>
      <c r="I333" s="30"/>
    </row>
    <row r="334" spans="6:9" x14ac:dyDescent="0.25">
      <c r="F334" s="30"/>
      <c r="G334" s="30"/>
      <c r="H334" s="30"/>
      <c r="I334" s="30"/>
    </row>
    <row r="335" spans="6:9" x14ac:dyDescent="0.25">
      <c r="F335" s="30"/>
      <c r="G335" s="30"/>
      <c r="H335" s="30"/>
      <c r="I335" s="30"/>
    </row>
    <row r="336" spans="6:9" x14ac:dyDescent="0.25">
      <c r="F336" s="30"/>
      <c r="G336" s="30"/>
      <c r="H336" s="30"/>
      <c r="I336" s="30"/>
    </row>
    <row r="337" spans="6:9" x14ac:dyDescent="0.25">
      <c r="F337" s="30"/>
      <c r="G337" s="30"/>
      <c r="H337" s="30"/>
      <c r="I337" s="30"/>
    </row>
    <row r="338" spans="6:9" x14ac:dyDescent="0.25">
      <c r="F338" s="30"/>
      <c r="G338" s="30"/>
      <c r="H338" s="30"/>
      <c r="I338" s="30"/>
    </row>
    <row r="339" spans="6:9" x14ac:dyDescent="0.25">
      <c r="F339" s="30"/>
      <c r="G339" s="30"/>
      <c r="H339" s="30"/>
      <c r="I339" s="30"/>
    </row>
    <row r="340" spans="6:9" x14ac:dyDescent="0.25">
      <c r="F340" s="30"/>
      <c r="G340" s="30"/>
      <c r="H340" s="30"/>
      <c r="I340" s="30"/>
    </row>
    <row r="341" spans="6:9" x14ac:dyDescent="0.25">
      <c r="F341" s="30"/>
      <c r="G341" s="30"/>
      <c r="H341" s="30"/>
      <c r="I341" s="30"/>
    </row>
    <row r="342" spans="6:9" x14ac:dyDescent="0.25">
      <c r="F342" s="30"/>
      <c r="G342" s="30"/>
      <c r="H342" s="30"/>
      <c r="I342" s="30"/>
    </row>
    <row r="343" spans="6:9" x14ac:dyDescent="0.25">
      <c r="F343" s="30"/>
      <c r="G343" s="30"/>
      <c r="H343" s="30"/>
      <c r="I343" s="30"/>
    </row>
    <row r="344" spans="6:9" x14ac:dyDescent="0.25">
      <c r="F344" s="30"/>
      <c r="G344" s="30"/>
      <c r="H344" s="30"/>
      <c r="I344" s="30"/>
    </row>
    <row r="345" spans="6:9" x14ac:dyDescent="0.25">
      <c r="F345" s="30"/>
      <c r="G345" s="30"/>
      <c r="H345" s="30"/>
      <c r="I345" s="30"/>
    </row>
    <row r="346" spans="6:9" x14ac:dyDescent="0.25">
      <c r="F346" s="30"/>
      <c r="G346" s="30"/>
      <c r="H346" s="30"/>
      <c r="I346" s="30"/>
    </row>
    <row r="347" spans="6:9" x14ac:dyDescent="0.25">
      <c r="F347" s="30"/>
      <c r="G347" s="30"/>
      <c r="H347" s="30"/>
      <c r="I347" s="30"/>
    </row>
    <row r="348" spans="6:9" x14ac:dyDescent="0.25">
      <c r="F348" s="30"/>
      <c r="G348" s="30"/>
      <c r="H348" s="30"/>
      <c r="I348" s="30"/>
    </row>
    <row r="349" spans="6:9" x14ac:dyDescent="0.25">
      <c r="F349" s="30"/>
      <c r="G349" s="30"/>
      <c r="H349" s="30"/>
      <c r="I349" s="30"/>
    </row>
    <row r="350" spans="6:9" x14ac:dyDescent="0.25">
      <c r="F350" s="30"/>
      <c r="G350" s="30"/>
      <c r="H350" s="30"/>
      <c r="I350" s="30"/>
    </row>
    <row r="351" spans="6:9" x14ac:dyDescent="0.25">
      <c r="F351" s="30"/>
      <c r="G351" s="30"/>
      <c r="H351" s="30"/>
      <c r="I351" s="30"/>
    </row>
    <row r="352" spans="6:9" x14ac:dyDescent="0.25">
      <c r="F352" s="30"/>
      <c r="G352" s="30"/>
      <c r="H352" s="30"/>
      <c r="I352" s="30"/>
    </row>
    <row r="353" spans="6:9" x14ac:dyDescent="0.25">
      <c r="F353" s="30"/>
      <c r="G353" s="30"/>
      <c r="H353" s="30"/>
      <c r="I353" s="30"/>
    </row>
    <row r="354" spans="6:9" x14ac:dyDescent="0.25">
      <c r="F354" s="30"/>
      <c r="G354" s="30"/>
      <c r="H354" s="30"/>
      <c r="I354" s="30"/>
    </row>
    <row r="355" spans="6:9" x14ac:dyDescent="0.25">
      <c r="F355" s="30"/>
      <c r="G355" s="30"/>
      <c r="H355" s="30"/>
      <c r="I355" s="30"/>
    </row>
    <row r="356" spans="6:9" x14ac:dyDescent="0.25">
      <c r="F356" s="30"/>
      <c r="G356" s="30"/>
      <c r="H356" s="30"/>
      <c r="I356" s="30"/>
    </row>
    <row r="357" spans="6:9" x14ac:dyDescent="0.25">
      <c r="F357" s="30"/>
      <c r="G357" s="30"/>
      <c r="H357" s="30"/>
      <c r="I357" s="30"/>
    </row>
    <row r="358" spans="6:9" x14ac:dyDescent="0.25">
      <c r="F358" s="30"/>
      <c r="G358" s="30"/>
      <c r="H358" s="30"/>
      <c r="I358" s="30"/>
    </row>
    <row r="359" spans="6:9" x14ac:dyDescent="0.25">
      <c r="F359" s="30"/>
      <c r="G359" s="30"/>
      <c r="H359" s="30"/>
      <c r="I359" s="30"/>
    </row>
    <row r="360" spans="6:9" x14ac:dyDescent="0.25">
      <c r="F360" s="30"/>
      <c r="G360" s="30"/>
      <c r="H360" s="30"/>
      <c r="I360" s="30"/>
    </row>
    <row r="361" spans="6:9" x14ac:dyDescent="0.25">
      <c r="F361" s="30"/>
      <c r="G361" s="30"/>
      <c r="H361" s="30"/>
      <c r="I361" s="30"/>
    </row>
    <row r="362" spans="6:9" x14ac:dyDescent="0.25">
      <c r="F362" s="30"/>
      <c r="G362" s="30"/>
      <c r="H362" s="30"/>
      <c r="I362" s="30"/>
    </row>
    <row r="363" spans="6:9" x14ac:dyDescent="0.25">
      <c r="F363" s="30"/>
      <c r="G363" s="30"/>
      <c r="H363" s="30"/>
      <c r="I363" s="30"/>
    </row>
    <row r="364" spans="6:9" x14ac:dyDescent="0.25">
      <c r="F364" s="30"/>
      <c r="G364" s="30"/>
      <c r="H364" s="30"/>
      <c r="I364" s="30"/>
    </row>
    <row r="365" spans="6:9" x14ac:dyDescent="0.25">
      <c r="F365" s="30"/>
      <c r="G365" s="30"/>
      <c r="H365" s="30"/>
      <c r="I365" s="30"/>
    </row>
    <row r="366" spans="6:9" x14ac:dyDescent="0.25">
      <c r="F366" s="30"/>
      <c r="G366" s="30"/>
      <c r="H366" s="30"/>
      <c r="I366" s="30"/>
    </row>
    <row r="367" spans="6:9" x14ac:dyDescent="0.25">
      <c r="F367" s="30"/>
      <c r="G367" s="30"/>
      <c r="H367" s="30"/>
      <c r="I367" s="30"/>
    </row>
    <row r="368" spans="6:9" x14ac:dyDescent="0.25">
      <c r="F368" s="30"/>
      <c r="G368" s="30"/>
      <c r="H368" s="30"/>
      <c r="I368" s="30"/>
    </row>
    <row r="369" spans="6:9" x14ac:dyDescent="0.25">
      <c r="F369" s="30"/>
      <c r="G369" s="30"/>
      <c r="H369" s="30"/>
      <c r="I369" s="30"/>
    </row>
    <row r="370" spans="6:9" x14ac:dyDescent="0.25">
      <c r="F370" s="30"/>
      <c r="G370" s="30"/>
      <c r="H370" s="30"/>
      <c r="I370" s="30"/>
    </row>
    <row r="371" spans="6:9" x14ac:dyDescent="0.25">
      <c r="F371" s="30"/>
      <c r="G371" s="30"/>
      <c r="H371" s="30"/>
      <c r="I371" s="30"/>
    </row>
    <row r="372" spans="6:9" x14ac:dyDescent="0.25">
      <c r="F372" s="30"/>
      <c r="G372" s="30"/>
      <c r="H372" s="30"/>
      <c r="I372" s="30"/>
    </row>
    <row r="373" spans="6:9" x14ac:dyDescent="0.25">
      <c r="F373" s="30"/>
      <c r="G373" s="30"/>
      <c r="H373" s="30"/>
      <c r="I373" s="30"/>
    </row>
    <row r="374" spans="6:9" x14ac:dyDescent="0.25">
      <c r="F374" s="30"/>
      <c r="G374" s="30"/>
      <c r="H374" s="30"/>
      <c r="I374" s="30"/>
    </row>
    <row r="375" spans="6:9" x14ac:dyDescent="0.25">
      <c r="F375" s="30"/>
      <c r="G375" s="30"/>
      <c r="H375" s="30"/>
      <c r="I375" s="30"/>
    </row>
    <row r="376" spans="6:9" x14ac:dyDescent="0.25">
      <c r="F376" s="30"/>
      <c r="G376" s="30"/>
      <c r="H376" s="30"/>
      <c r="I376" s="30"/>
    </row>
    <row r="377" spans="6:9" x14ac:dyDescent="0.25">
      <c r="F377" s="30"/>
      <c r="G377" s="30"/>
      <c r="H377" s="30"/>
      <c r="I377" s="30"/>
    </row>
    <row r="378" spans="6:9" x14ac:dyDescent="0.25">
      <c r="F378" s="30"/>
      <c r="G378" s="30"/>
      <c r="H378" s="30"/>
      <c r="I378" s="30"/>
    </row>
    <row r="379" spans="6:9" x14ac:dyDescent="0.25">
      <c r="F379" s="30"/>
      <c r="G379" s="30"/>
      <c r="H379" s="30"/>
      <c r="I379" s="30"/>
    </row>
    <row r="380" spans="6:9" x14ac:dyDescent="0.25">
      <c r="F380" s="30"/>
      <c r="G380" s="30"/>
      <c r="H380" s="30"/>
      <c r="I380" s="30"/>
    </row>
    <row r="381" spans="6:9" x14ac:dyDescent="0.25">
      <c r="F381" s="30"/>
      <c r="G381" s="30"/>
      <c r="H381" s="30"/>
      <c r="I381" s="30"/>
    </row>
    <row r="382" spans="6:9" x14ac:dyDescent="0.25">
      <c r="F382" s="30"/>
      <c r="G382" s="30"/>
      <c r="H382" s="30"/>
      <c r="I382" s="30"/>
    </row>
    <row r="383" spans="6:9" x14ac:dyDescent="0.25">
      <c r="F383" s="30"/>
      <c r="G383" s="30"/>
      <c r="H383" s="30"/>
      <c r="I383" s="30"/>
    </row>
    <row r="384" spans="6:9" x14ac:dyDescent="0.25">
      <c r="F384" s="30"/>
      <c r="G384" s="30"/>
      <c r="H384" s="30"/>
      <c r="I384" s="30"/>
    </row>
    <row r="385" spans="6:9" x14ac:dyDescent="0.25">
      <c r="F385" s="30"/>
      <c r="G385" s="30"/>
      <c r="H385" s="30"/>
      <c r="I385" s="30"/>
    </row>
    <row r="386" spans="6:9" x14ac:dyDescent="0.25">
      <c r="F386" s="30"/>
      <c r="G386" s="30"/>
      <c r="H386" s="30"/>
      <c r="I386" s="30"/>
    </row>
    <row r="387" spans="6:9" x14ac:dyDescent="0.25">
      <c r="F387" s="30"/>
      <c r="G387" s="30"/>
      <c r="H387" s="30"/>
      <c r="I387" s="30"/>
    </row>
    <row r="388" spans="6:9" x14ac:dyDescent="0.25">
      <c r="F388" s="30"/>
      <c r="G388" s="30"/>
      <c r="H388" s="30"/>
      <c r="I388" s="30"/>
    </row>
    <row r="389" spans="6:9" x14ac:dyDescent="0.25">
      <c r="F389" s="30"/>
      <c r="G389" s="30"/>
      <c r="H389" s="30"/>
      <c r="I389" s="30"/>
    </row>
    <row r="390" spans="6:9" x14ac:dyDescent="0.25">
      <c r="F390" s="30"/>
      <c r="G390" s="30"/>
      <c r="H390" s="30"/>
      <c r="I390" s="30"/>
    </row>
    <row r="391" spans="6:9" x14ac:dyDescent="0.25">
      <c r="F391" s="30"/>
      <c r="G391" s="30"/>
      <c r="H391" s="30"/>
      <c r="I391" s="30"/>
    </row>
    <row r="392" spans="6:9" x14ac:dyDescent="0.25">
      <c r="F392" s="30"/>
      <c r="G392" s="30"/>
      <c r="H392" s="30"/>
      <c r="I392" s="30"/>
    </row>
    <row r="393" spans="6:9" x14ac:dyDescent="0.25">
      <c r="F393" s="30"/>
      <c r="G393" s="30"/>
      <c r="H393" s="30"/>
      <c r="I393" s="30"/>
    </row>
    <row r="394" spans="6:9" x14ac:dyDescent="0.25">
      <c r="F394" s="30"/>
      <c r="G394" s="30"/>
      <c r="H394" s="30"/>
      <c r="I394" s="30"/>
    </row>
    <row r="395" spans="6:9" x14ac:dyDescent="0.25">
      <c r="F395" s="30"/>
      <c r="G395" s="30"/>
      <c r="H395" s="30"/>
      <c r="I395" s="30"/>
    </row>
    <row r="396" spans="6:9" x14ac:dyDescent="0.25">
      <c r="F396" s="30"/>
      <c r="G396" s="30"/>
      <c r="H396" s="30"/>
      <c r="I396" s="30"/>
    </row>
    <row r="397" spans="6:9" x14ac:dyDescent="0.25">
      <c r="F397" s="30"/>
      <c r="G397" s="30"/>
      <c r="H397" s="30"/>
      <c r="I397" s="30"/>
    </row>
    <row r="398" spans="6:9" x14ac:dyDescent="0.25">
      <c r="F398" s="30"/>
      <c r="G398" s="30"/>
      <c r="H398" s="30"/>
      <c r="I398" s="30"/>
    </row>
    <row r="399" spans="6:9" x14ac:dyDescent="0.25">
      <c r="F399" s="30"/>
      <c r="G399" s="30"/>
      <c r="H399" s="30"/>
      <c r="I399" s="30"/>
    </row>
    <row r="400" spans="6:9" x14ac:dyDescent="0.25">
      <c r="F400" s="30"/>
      <c r="G400" s="30"/>
      <c r="H400" s="30"/>
      <c r="I400" s="30"/>
    </row>
    <row r="401" spans="6:9" x14ac:dyDescent="0.25">
      <c r="F401" s="30"/>
      <c r="G401" s="30"/>
      <c r="H401" s="30"/>
      <c r="I401" s="30"/>
    </row>
    <row r="402" spans="6:9" x14ac:dyDescent="0.25">
      <c r="F402" s="30"/>
      <c r="G402" s="30"/>
      <c r="H402" s="30"/>
      <c r="I402" s="30"/>
    </row>
    <row r="403" spans="6:9" x14ac:dyDescent="0.25">
      <c r="F403" s="30"/>
      <c r="G403" s="30"/>
      <c r="H403" s="30"/>
      <c r="I403" s="30"/>
    </row>
    <row r="404" spans="6:9" x14ac:dyDescent="0.25">
      <c r="F404" s="30"/>
      <c r="G404" s="30"/>
      <c r="H404" s="30"/>
      <c r="I404" s="30"/>
    </row>
    <row r="405" spans="6:9" x14ac:dyDescent="0.25">
      <c r="F405" s="30"/>
      <c r="G405" s="30"/>
      <c r="H405" s="30"/>
      <c r="I405" s="30"/>
    </row>
    <row r="406" spans="6:9" x14ac:dyDescent="0.25">
      <c r="F406" s="30"/>
      <c r="G406" s="30"/>
      <c r="H406" s="30"/>
      <c r="I406" s="30"/>
    </row>
    <row r="407" spans="6:9" x14ac:dyDescent="0.25">
      <c r="F407" s="30"/>
      <c r="G407" s="30"/>
      <c r="H407" s="30"/>
      <c r="I407" s="30"/>
    </row>
    <row r="408" spans="6:9" x14ac:dyDescent="0.25">
      <c r="F408" s="30"/>
      <c r="G408" s="30"/>
      <c r="H408" s="30"/>
      <c r="I408" s="30"/>
    </row>
    <row r="409" spans="6:9" x14ac:dyDescent="0.25">
      <c r="F409" s="30"/>
      <c r="G409" s="30"/>
      <c r="H409" s="30"/>
      <c r="I409" s="30"/>
    </row>
    <row r="410" spans="6:9" x14ac:dyDescent="0.25">
      <c r="F410" s="30"/>
      <c r="G410" s="30"/>
      <c r="H410" s="30"/>
      <c r="I410" s="30"/>
    </row>
    <row r="411" spans="6:9" x14ac:dyDescent="0.25">
      <c r="F411" s="30"/>
      <c r="G411" s="30"/>
      <c r="H411" s="30"/>
      <c r="I411" s="30"/>
    </row>
    <row r="412" spans="6:9" x14ac:dyDescent="0.25">
      <c r="F412" s="30"/>
      <c r="G412" s="30"/>
      <c r="H412" s="30"/>
      <c r="I412" s="30"/>
    </row>
    <row r="413" spans="6:9" x14ac:dyDescent="0.25">
      <c r="F413" s="30"/>
      <c r="G413" s="30"/>
      <c r="H413" s="30"/>
      <c r="I413" s="30"/>
    </row>
    <row r="414" spans="6:9" x14ac:dyDescent="0.25">
      <c r="F414" s="30"/>
      <c r="G414" s="30"/>
      <c r="H414" s="30"/>
      <c r="I414" s="30"/>
    </row>
    <row r="415" spans="6:9" x14ac:dyDescent="0.25">
      <c r="F415" s="30"/>
      <c r="G415" s="30"/>
      <c r="H415" s="30"/>
      <c r="I415" s="30"/>
    </row>
    <row r="416" spans="6:9" x14ac:dyDescent="0.25">
      <c r="F416" s="30"/>
      <c r="G416" s="30"/>
      <c r="H416" s="30"/>
      <c r="I416" s="30"/>
    </row>
    <row r="417" spans="6:9" x14ac:dyDescent="0.25">
      <c r="F417" s="30"/>
      <c r="G417" s="30"/>
      <c r="H417" s="30"/>
      <c r="I417" s="30"/>
    </row>
    <row r="418" spans="6:9" x14ac:dyDescent="0.25">
      <c r="F418" s="30"/>
      <c r="G418" s="30"/>
      <c r="H418" s="30"/>
      <c r="I418" s="30"/>
    </row>
    <row r="419" spans="6:9" x14ac:dyDescent="0.25">
      <c r="F419" s="30"/>
      <c r="G419" s="30"/>
      <c r="H419" s="30"/>
      <c r="I419" s="30"/>
    </row>
    <row r="420" spans="6:9" x14ac:dyDescent="0.25">
      <c r="F420" s="30"/>
      <c r="G420" s="30"/>
      <c r="H420" s="30"/>
      <c r="I420" s="30"/>
    </row>
    <row r="421" spans="6:9" x14ac:dyDescent="0.25">
      <c r="F421" s="30"/>
      <c r="G421" s="30"/>
      <c r="H421" s="30"/>
      <c r="I421" s="30"/>
    </row>
    <row r="422" spans="6:9" x14ac:dyDescent="0.25">
      <c r="F422" s="30"/>
      <c r="G422" s="30"/>
      <c r="H422" s="30"/>
      <c r="I422" s="30"/>
    </row>
    <row r="423" spans="6:9" x14ac:dyDescent="0.25">
      <c r="F423" s="30"/>
      <c r="G423" s="30"/>
      <c r="H423" s="30"/>
      <c r="I423" s="30"/>
    </row>
    <row r="424" spans="6:9" x14ac:dyDescent="0.25">
      <c r="F424" s="30"/>
      <c r="G424" s="30"/>
      <c r="H424" s="30"/>
      <c r="I424" s="30"/>
    </row>
    <row r="425" spans="6:9" x14ac:dyDescent="0.25">
      <c r="F425" s="30"/>
      <c r="G425" s="30"/>
      <c r="H425" s="30"/>
      <c r="I425" s="30"/>
    </row>
    <row r="426" spans="6:9" x14ac:dyDescent="0.25">
      <c r="F426" s="30"/>
      <c r="G426" s="30"/>
      <c r="H426" s="30"/>
      <c r="I426" s="30"/>
    </row>
    <row r="427" spans="6:9" x14ac:dyDescent="0.25">
      <c r="F427" s="30"/>
      <c r="G427" s="30"/>
      <c r="H427" s="30"/>
      <c r="I427" s="30"/>
    </row>
    <row r="428" spans="6:9" x14ac:dyDescent="0.25">
      <c r="F428" s="30"/>
      <c r="G428" s="30"/>
      <c r="H428" s="30"/>
      <c r="I428" s="30"/>
    </row>
    <row r="429" spans="6:9" x14ac:dyDescent="0.25">
      <c r="F429" s="30"/>
      <c r="G429" s="30"/>
      <c r="H429" s="30"/>
      <c r="I429" s="30"/>
    </row>
    <row r="430" spans="6:9" x14ac:dyDescent="0.25">
      <c r="F430" s="30"/>
      <c r="G430" s="30"/>
      <c r="H430" s="30"/>
      <c r="I430" s="30"/>
    </row>
    <row r="431" spans="6:9" x14ac:dyDescent="0.25">
      <c r="F431" s="30"/>
      <c r="G431" s="30"/>
      <c r="H431" s="30"/>
      <c r="I431" s="30"/>
    </row>
    <row r="432" spans="6:9" x14ac:dyDescent="0.25">
      <c r="F432" s="30"/>
      <c r="G432" s="30"/>
      <c r="H432" s="30"/>
      <c r="I432" s="30"/>
    </row>
    <row r="433" spans="6:9" x14ac:dyDescent="0.25">
      <c r="F433" s="30"/>
      <c r="G433" s="30"/>
      <c r="H433" s="30"/>
      <c r="I433" s="30"/>
    </row>
    <row r="434" spans="6:9" x14ac:dyDescent="0.25">
      <c r="F434" s="30"/>
      <c r="G434" s="30"/>
      <c r="H434" s="30"/>
      <c r="I434" s="30"/>
    </row>
    <row r="435" spans="6:9" x14ac:dyDescent="0.25">
      <c r="F435" s="30"/>
      <c r="G435" s="30"/>
      <c r="H435" s="30"/>
      <c r="I435" s="30"/>
    </row>
    <row r="436" spans="6:9" x14ac:dyDescent="0.25">
      <c r="F436" s="30"/>
      <c r="G436" s="30"/>
      <c r="H436" s="30"/>
      <c r="I436" s="30"/>
    </row>
    <row r="437" spans="6:9" x14ac:dyDescent="0.25">
      <c r="F437" s="30"/>
      <c r="G437" s="30"/>
      <c r="H437" s="30"/>
      <c r="I437" s="30"/>
    </row>
    <row r="438" spans="6:9" x14ac:dyDescent="0.25">
      <c r="F438" s="30"/>
      <c r="G438" s="30"/>
      <c r="H438" s="30"/>
      <c r="I438" s="30"/>
    </row>
    <row r="439" spans="6:9" x14ac:dyDescent="0.25">
      <c r="F439" s="30"/>
      <c r="G439" s="30"/>
      <c r="H439" s="30"/>
      <c r="I439" s="30"/>
    </row>
    <row r="440" spans="6:9" x14ac:dyDescent="0.25">
      <c r="F440" s="30"/>
      <c r="G440" s="30"/>
      <c r="H440" s="30"/>
      <c r="I440" s="30"/>
    </row>
    <row r="441" spans="6:9" x14ac:dyDescent="0.25">
      <c r="F441" s="30"/>
      <c r="G441" s="30"/>
      <c r="H441" s="30"/>
      <c r="I441" s="30"/>
    </row>
    <row r="442" spans="6:9" x14ac:dyDescent="0.25">
      <c r="F442" s="30"/>
      <c r="G442" s="30"/>
      <c r="H442" s="30"/>
      <c r="I442" s="30"/>
    </row>
    <row r="443" spans="6:9" x14ac:dyDescent="0.25">
      <c r="F443" s="30"/>
      <c r="G443" s="30"/>
      <c r="H443" s="30"/>
      <c r="I443" s="30"/>
    </row>
    <row r="444" spans="6:9" x14ac:dyDescent="0.25">
      <c r="F444" s="30"/>
      <c r="G444" s="30"/>
      <c r="H444" s="30"/>
      <c r="I444" s="30"/>
    </row>
    <row r="445" spans="6:9" x14ac:dyDescent="0.25">
      <c r="F445" s="30"/>
      <c r="G445" s="30"/>
      <c r="H445" s="30"/>
      <c r="I445" s="30"/>
    </row>
    <row r="446" spans="6:9" x14ac:dyDescent="0.25">
      <c r="F446" s="30"/>
      <c r="G446" s="30"/>
      <c r="H446" s="30"/>
      <c r="I446" s="30"/>
    </row>
    <row r="447" spans="6:9" x14ac:dyDescent="0.25">
      <c r="F447" s="30"/>
      <c r="G447" s="30"/>
      <c r="H447" s="30"/>
      <c r="I447" s="30"/>
    </row>
    <row r="448" spans="6:9" x14ac:dyDescent="0.25">
      <c r="F448" s="30"/>
      <c r="G448" s="30"/>
      <c r="H448" s="30"/>
      <c r="I448" s="30"/>
    </row>
    <row r="449" spans="6:9" x14ac:dyDescent="0.25">
      <c r="F449" s="30"/>
      <c r="G449" s="30"/>
      <c r="H449" s="30"/>
      <c r="I449" s="30"/>
    </row>
    <row r="450" spans="6:9" x14ac:dyDescent="0.25">
      <c r="F450" s="30"/>
      <c r="G450" s="30"/>
      <c r="H450" s="30"/>
      <c r="I450" s="30"/>
    </row>
    <row r="451" spans="6:9" x14ac:dyDescent="0.25">
      <c r="F451" s="30"/>
      <c r="G451" s="30"/>
      <c r="H451" s="30"/>
      <c r="I451" s="30"/>
    </row>
    <row r="452" spans="6:9" x14ac:dyDescent="0.25">
      <c r="F452" s="30"/>
      <c r="G452" s="30"/>
      <c r="H452" s="30"/>
      <c r="I452" s="30"/>
    </row>
    <row r="453" spans="6:9" x14ac:dyDescent="0.25">
      <c r="F453" s="30"/>
      <c r="G453" s="30"/>
      <c r="H453" s="30"/>
      <c r="I453" s="30"/>
    </row>
    <row r="454" spans="6:9" x14ac:dyDescent="0.25">
      <c r="F454" s="30"/>
      <c r="G454" s="30"/>
      <c r="H454" s="30"/>
      <c r="I454" s="30"/>
    </row>
    <row r="455" spans="6:9" x14ac:dyDescent="0.25">
      <c r="F455" s="30"/>
      <c r="G455" s="30"/>
      <c r="H455" s="30"/>
      <c r="I455" s="30"/>
    </row>
    <row r="456" spans="6:9" x14ac:dyDescent="0.25">
      <c r="F456" s="30"/>
      <c r="G456" s="30"/>
      <c r="H456" s="30"/>
      <c r="I456" s="30"/>
    </row>
    <row r="457" spans="6:9" x14ac:dyDescent="0.25">
      <c r="F457" s="30"/>
      <c r="G457" s="30"/>
      <c r="H457" s="30"/>
      <c r="I457" s="30"/>
    </row>
    <row r="458" spans="6:9" x14ac:dyDescent="0.25">
      <c r="F458" s="30"/>
      <c r="G458" s="30"/>
      <c r="H458" s="30"/>
      <c r="I458" s="30"/>
    </row>
    <row r="459" spans="6:9" x14ac:dyDescent="0.25">
      <c r="F459" s="30"/>
      <c r="G459" s="30"/>
      <c r="H459" s="30"/>
      <c r="I459" s="30"/>
    </row>
    <row r="460" spans="6:9" x14ac:dyDescent="0.25">
      <c r="F460" s="30"/>
      <c r="G460" s="30"/>
      <c r="H460" s="30"/>
      <c r="I460" s="30"/>
    </row>
    <row r="461" spans="6:9" x14ac:dyDescent="0.25">
      <c r="F461" s="30"/>
      <c r="G461" s="30"/>
      <c r="H461" s="30"/>
      <c r="I461" s="30"/>
    </row>
    <row r="462" spans="6:9" x14ac:dyDescent="0.25">
      <c r="F462" s="30"/>
      <c r="G462" s="30"/>
      <c r="H462" s="30"/>
      <c r="I462" s="30"/>
    </row>
    <row r="463" spans="6:9" x14ac:dyDescent="0.25">
      <c r="F463" s="30"/>
      <c r="G463" s="30"/>
      <c r="H463" s="30"/>
      <c r="I463" s="30"/>
    </row>
    <row r="464" spans="6:9" x14ac:dyDescent="0.25">
      <c r="F464" s="30"/>
      <c r="G464" s="30"/>
      <c r="H464" s="30"/>
      <c r="I464" s="30"/>
    </row>
    <row r="465" spans="6:9" x14ac:dyDescent="0.25">
      <c r="F465" s="30"/>
      <c r="G465" s="30"/>
      <c r="H465" s="30"/>
      <c r="I465" s="30"/>
    </row>
    <row r="466" spans="6:9" x14ac:dyDescent="0.25">
      <c r="F466" s="30"/>
      <c r="G466" s="30"/>
      <c r="H466" s="30"/>
      <c r="I466" s="30"/>
    </row>
    <row r="467" spans="6:9" x14ac:dyDescent="0.25">
      <c r="F467" s="30"/>
      <c r="G467" s="30"/>
      <c r="H467" s="30"/>
      <c r="I467" s="30"/>
    </row>
    <row r="468" spans="6:9" x14ac:dyDescent="0.25">
      <c r="F468" s="30"/>
      <c r="G468" s="30"/>
      <c r="H468" s="30"/>
      <c r="I468" s="30"/>
    </row>
    <row r="469" spans="6:9" x14ac:dyDescent="0.25">
      <c r="F469" s="30"/>
      <c r="G469" s="30"/>
      <c r="H469" s="30"/>
      <c r="I469" s="30"/>
    </row>
    <row r="470" spans="6:9" x14ac:dyDescent="0.25">
      <c r="F470" s="30"/>
      <c r="G470" s="30"/>
      <c r="H470" s="30"/>
      <c r="I470" s="30"/>
    </row>
    <row r="471" spans="6:9" x14ac:dyDescent="0.25">
      <c r="F471" s="30"/>
      <c r="G471" s="30"/>
      <c r="H471" s="30"/>
      <c r="I471" s="30"/>
    </row>
    <row r="472" spans="6:9" x14ac:dyDescent="0.25">
      <c r="F472" s="30"/>
      <c r="G472" s="30"/>
      <c r="H472" s="30"/>
      <c r="I472" s="30"/>
    </row>
    <row r="473" spans="6:9" x14ac:dyDescent="0.25">
      <c r="F473" s="30"/>
      <c r="G473" s="30"/>
      <c r="H473" s="30"/>
      <c r="I473" s="30"/>
    </row>
    <row r="474" spans="6:9" x14ac:dyDescent="0.25">
      <c r="F474" s="30"/>
      <c r="G474" s="30"/>
      <c r="H474" s="30"/>
      <c r="I474" s="30"/>
    </row>
    <row r="475" spans="6:9" x14ac:dyDescent="0.25">
      <c r="F475" s="30"/>
      <c r="G475" s="30"/>
      <c r="H475" s="30"/>
      <c r="I475" s="30"/>
    </row>
    <row r="476" spans="6:9" x14ac:dyDescent="0.25">
      <c r="F476" s="30"/>
      <c r="G476" s="30"/>
      <c r="H476" s="30"/>
      <c r="I476" s="30"/>
    </row>
    <row r="477" spans="6:9" x14ac:dyDescent="0.25">
      <c r="F477" s="30"/>
      <c r="G477" s="30"/>
      <c r="H477" s="30"/>
      <c r="I477" s="30"/>
    </row>
    <row r="478" spans="6:9" x14ac:dyDescent="0.25">
      <c r="F478" s="30"/>
      <c r="G478" s="30"/>
      <c r="H478" s="30"/>
      <c r="I478" s="30"/>
    </row>
    <row r="479" spans="6:9" x14ac:dyDescent="0.25">
      <c r="F479" s="30"/>
      <c r="G479" s="30"/>
      <c r="H479" s="30"/>
      <c r="I479" s="30"/>
    </row>
    <row r="480" spans="6:9" x14ac:dyDescent="0.25">
      <c r="F480" s="30"/>
      <c r="G480" s="30"/>
      <c r="H480" s="30"/>
      <c r="I480" s="30"/>
    </row>
    <row r="481" spans="6:9" x14ac:dyDescent="0.25">
      <c r="F481" s="30"/>
      <c r="G481" s="30"/>
      <c r="H481" s="30"/>
      <c r="I481" s="30"/>
    </row>
    <row r="482" spans="6:9" x14ac:dyDescent="0.25">
      <c r="F482" s="30"/>
      <c r="G482" s="30"/>
      <c r="H482" s="30"/>
      <c r="I482" s="30"/>
    </row>
    <row r="483" spans="6:9" x14ac:dyDescent="0.25">
      <c r="F483" s="30"/>
      <c r="G483" s="30"/>
      <c r="H483" s="30"/>
      <c r="I483" s="30"/>
    </row>
    <row r="484" spans="6:9" x14ac:dyDescent="0.25">
      <c r="F484" s="30"/>
      <c r="G484" s="30"/>
      <c r="H484" s="30"/>
      <c r="I484" s="30"/>
    </row>
    <row r="485" spans="6:9" x14ac:dyDescent="0.25">
      <c r="F485" s="30"/>
      <c r="G485" s="30"/>
      <c r="H485" s="30"/>
      <c r="I485" s="30"/>
    </row>
    <row r="486" spans="6:9" x14ac:dyDescent="0.25">
      <c r="F486" s="30"/>
      <c r="G486" s="30"/>
      <c r="H486" s="30"/>
      <c r="I486" s="30"/>
    </row>
    <row r="487" spans="6:9" x14ac:dyDescent="0.25">
      <c r="F487" s="30"/>
      <c r="G487" s="30"/>
      <c r="H487" s="30"/>
      <c r="I487" s="30"/>
    </row>
    <row r="488" spans="6:9" x14ac:dyDescent="0.25">
      <c r="F488" s="30"/>
      <c r="G488" s="30"/>
      <c r="H488" s="30"/>
      <c r="I488" s="30"/>
    </row>
    <row r="489" spans="6:9" x14ac:dyDescent="0.25">
      <c r="F489" s="30"/>
      <c r="G489" s="30"/>
      <c r="H489" s="30"/>
      <c r="I489" s="30"/>
    </row>
    <row r="490" spans="6:9" x14ac:dyDescent="0.25">
      <c r="F490" s="30"/>
      <c r="G490" s="30"/>
      <c r="H490" s="30"/>
      <c r="I490" s="30"/>
    </row>
    <row r="491" spans="6:9" x14ac:dyDescent="0.25">
      <c r="F491" s="30"/>
      <c r="G491" s="30"/>
      <c r="H491" s="30"/>
      <c r="I491" s="30"/>
    </row>
    <row r="492" spans="6:9" x14ac:dyDescent="0.25">
      <c r="F492" s="30"/>
      <c r="G492" s="30"/>
      <c r="H492" s="30"/>
      <c r="I492" s="30"/>
    </row>
    <row r="493" spans="6:9" x14ac:dyDescent="0.25">
      <c r="F493" s="30"/>
      <c r="G493" s="30"/>
      <c r="H493" s="30"/>
      <c r="I493" s="30"/>
    </row>
    <row r="494" spans="6:9" x14ac:dyDescent="0.25">
      <c r="F494" s="30"/>
      <c r="G494" s="30"/>
      <c r="H494" s="30"/>
      <c r="I494" s="30"/>
    </row>
    <row r="495" spans="6:9" x14ac:dyDescent="0.25">
      <c r="F495" s="30"/>
      <c r="G495" s="30"/>
      <c r="H495" s="30"/>
      <c r="I495" s="30"/>
    </row>
    <row r="496" spans="6:9" x14ac:dyDescent="0.25">
      <c r="F496" s="30"/>
      <c r="G496" s="30"/>
      <c r="H496" s="30"/>
      <c r="I496" s="30"/>
    </row>
    <row r="497" spans="6:9" x14ac:dyDescent="0.25">
      <c r="F497" s="30"/>
      <c r="G497" s="30"/>
      <c r="H497" s="30"/>
      <c r="I497" s="30"/>
    </row>
    <row r="498" spans="6:9" x14ac:dyDescent="0.25">
      <c r="F498" s="30"/>
      <c r="G498" s="30"/>
      <c r="H498" s="30"/>
      <c r="I498" s="30"/>
    </row>
    <row r="499" spans="6:9" x14ac:dyDescent="0.25">
      <c r="F499" s="30"/>
      <c r="G499" s="30"/>
      <c r="H499" s="30"/>
      <c r="I499" s="30"/>
    </row>
    <row r="500" spans="6:9" x14ac:dyDescent="0.25">
      <c r="F500" s="30"/>
      <c r="G500" s="30"/>
      <c r="H500" s="30"/>
      <c r="I500" s="30"/>
    </row>
  </sheetData>
  <mergeCells count="2">
    <mergeCell ref="A1:K1"/>
    <mergeCell ref="A2:K2"/>
  </mergeCells>
  <conditionalFormatting sqref="J5:J500">
    <cfRule type="expression" dxfId="4" priority="1">
      <formula>J5="Pendente"</formula>
    </cfRule>
  </conditionalFormatting>
  <conditionalFormatting sqref="J5:J500">
    <cfRule type="expression" dxfId="3" priority="2">
      <formula>J5="Conferido"</formula>
    </cfRule>
  </conditionalFormatting>
  <dataValidations count="3">
    <dataValidation type="list" allowBlank="1" showInputMessage="1" showErrorMessage="1" sqref="A5:A500" xr:uid="{7C5BF71C-1999-4DB5-89AB-945D134EFAED}">
      <formula1>"Sim,Não"</formula1>
    </dataValidation>
    <dataValidation type="list" allowBlank="1" showInputMessage="1" showErrorMessage="1" sqref="B5:B500" xr:uid="{068E2CE5-1CE0-482F-B989-F6D873B2C3B5}">
      <formula1>"Imóvel,Veículo,Conta bancária,Investimento,Participação societária,Criptoativo,Outro"</formula1>
    </dataValidation>
    <dataValidation type="list" allowBlank="1" showInputMessage="1" showErrorMessage="1" sqref="J5:J500" xr:uid="{71F7AB16-20A4-46DE-B885-97DC694AFEBF}">
      <formula1>"Exemplo,Pendente,Conferido"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77A5-857F-43F3-86FC-1F3036AB8794}">
  <dimension ref="A1:H500"/>
  <sheetViews>
    <sheetView showGridLines="0" workbookViewId="0">
      <selection sqref="A1:H1"/>
    </sheetView>
  </sheetViews>
  <sheetFormatPr defaultRowHeight="15" x14ac:dyDescent="0.25"/>
  <cols>
    <col min="1" max="1" width="8.85546875" bestFit="1" customWidth="1"/>
    <col min="2" max="2" width="28.5703125" customWidth="1"/>
    <col min="3" max="3" width="17.5703125" bestFit="1" customWidth="1"/>
    <col min="4" max="4" width="22.85546875" customWidth="1"/>
    <col min="5" max="5" width="13.5703125" bestFit="1" customWidth="1"/>
    <col min="6" max="6" width="14" bestFit="1" customWidth="1"/>
    <col min="7" max="7" width="12.28515625" bestFit="1" customWidth="1"/>
    <col min="8" max="8" width="9" bestFit="1" customWidth="1"/>
  </cols>
  <sheetData>
    <row r="1" spans="1:8" s="6" customFormat="1" ht="33.950000000000003" customHeight="1" x14ac:dyDescent="0.25">
      <c r="A1" s="4" t="s">
        <v>85</v>
      </c>
      <c r="B1" s="5"/>
      <c r="C1" s="5"/>
      <c r="D1" s="5"/>
      <c r="E1" s="5"/>
      <c r="F1" s="5"/>
      <c r="G1" s="5"/>
      <c r="H1" s="5"/>
    </row>
    <row r="2" spans="1:8" s="20" customFormat="1" ht="24" customHeight="1" x14ac:dyDescent="0.25">
      <c r="A2" s="18" t="s">
        <v>86</v>
      </c>
      <c r="B2" s="19"/>
      <c r="C2" s="19"/>
      <c r="D2" s="19"/>
      <c r="E2" s="19"/>
      <c r="F2" s="19"/>
      <c r="G2" s="19"/>
      <c r="H2" s="19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ht="27.95" customHeight="1" x14ac:dyDescent="0.25">
      <c r="A4" s="3" t="s">
        <v>46</v>
      </c>
      <c r="B4" s="3" t="s">
        <v>87</v>
      </c>
      <c r="C4" s="3" t="s">
        <v>49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54</v>
      </c>
    </row>
    <row r="5" spans="1:8" x14ac:dyDescent="0.25">
      <c r="A5" s="3" t="s">
        <v>43</v>
      </c>
      <c r="B5" s="3" t="s">
        <v>92</v>
      </c>
      <c r="C5" s="3" t="s">
        <v>58</v>
      </c>
      <c r="D5" s="3" t="s">
        <v>93</v>
      </c>
      <c r="E5" s="29">
        <v>0</v>
      </c>
      <c r="F5" s="29">
        <v>0</v>
      </c>
      <c r="G5" s="29">
        <v>1000</v>
      </c>
      <c r="H5" s="3" t="s">
        <v>61</v>
      </c>
    </row>
    <row r="6" spans="1:8" x14ac:dyDescent="0.25">
      <c r="E6" s="30"/>
      <c r="F6" s="30"/>
      <c r="G6" s="30"/>
    </row>
    <row r="7" spans="1:8" x14ac:dyDescent="0.25">
      <c r="E7" s="30"/>
      <c r="F7" s="30"/>
      <c r="G7" s="30"/>
    </row>
    <row r="8" spans="1:8" x14ac:dyDescent="0.25">
      <c r="E8" s="30"/>
      <c r="F8" s="30"/>
      <c r="G8" s="30"/>
    </row>
    <row r="9" spans="1:8" x14ac:dyDescent="0.25">
      <c r="E9" s="30"/>
      <c r="F9" s="30"/>
      <c r="G9" s="30"/>
    </row>
    <row r="10" spans="1:8" x14ac:dyDescent="0.25">
      <c r="E10" s="30"/>
      <c r="F10" s="30"/>
      <c r="G10" s="30"/>
    </row>
    <row r="11" spans="1:8" x14ac:dyDescent="0.25">
      <c r="E11" s="30"/>
      <c r="F11" s="30"/>
      <c r="G11" s="30"/>
    </row>
    <row r="12" spans="1:8" x14ac:dyDescent="0.25">
      <c r="E12" s="30"/>
      <c r="F12" s="30"/>
      <c r="G12" s="30"/>
    </row>
    <row r="13" spans="1:8" x14ac:dyDescent="0.25">
      <c r="E13" s="30"/>
      <c r="F13" s="30"/>
      <c r="G13" s="30"/>
    </row>
    <row r="14" spans="1:8" x14ac:dyDescent="0.25">
      <c r="E14" s="30"/>
      <c r="F14" s="30"/>
      <c r="G14" s="30"/>
    </row>
    <row r="15" spans="1:8" x14ac:dyDescent="0.25">
      <c r="E15" s="30"/>
      <c r="F15" s="30"/>
      <c r="G15" s="30"/>
    </row>
    <row r="16" spans="1:8" x14ac:dyDescent="0.25">
      <c r="E16" s="30"/>
      <c r="F16" s="30"/>
      <c r="G16" s="30"/>
    </row>
    <row r="17" spans="5:7" x14ac:dyDescent="0.25">
      <c r="E17" s="30"/>
      <c r="F17" s="30"/>
      <c r="G17" s="30"/>
    </row>
    <row r="18" spans="5:7" x14ac:dyDescent="0.25">
      <c r="E18" s="30"/>
      <c r="F18" s="30"/>
      <c r="G18" s="30"/>
    </row>
    <row r="19" spans="5:7" x14ac:dyDescent="0.25">
      <c r="E19" s="30"/>
      <c r="F19" s="30"/>
      <c r="G19" s="30"/>
    </row>
    <row r="20" spans="5:7" x14ac:dyDescent="0.25">
      <c r="E20" s="30"/>
      <c r="F20" s="30"/>
      <c r="G20" s="30"/>
    </row>
    <row r="21" spans="5:7" x14ac:dyDescent="0.25">
      <c r="E21" s="30"/>
      <c r="F21" s="30"/>
      <c r="G21" s="30"/>
    </row>
    <row r="22" spans="5:7" x14ac:dyDescent="0.25">
      <c r="E22" s="30"/>
      <c r="F22" s="30"/>
      <c r="G22" s="30"/>
    </row>
    <row r="23" spans="5:7" x14ac:dyDescent="0.25">
      <c r="E23" s="30"/>
      <c r="F23" s="30"/>
      <c r="G23" s="30"/>
    </row>
    <row r="24" spans="5:7" x14ac:dyDescent="0.25">
      <c r="E24" s="30"/>
      <c r="F24" s="30"/>
      <c r="G24" s="30"/>
    </row>
    <row r="25" spans="5:7" x14ac:dyDescent="0.25">
      <c r="E25" s="30"/>
      <c r="F25" s="30"/>
      <c r="G25" s="30"/>
    </row>
    <row r="26" spans="5:7" x14ac:dyDescent="0.25">
      <c r="E26" s="30"/>
      <c r="F26" s="30"/>
      <c r="G26" s="30"/>
    </row>
    <row r="27" spans="5:7" x14ac:dyDescent="0.25">
      <c r="E27" s="30"/>
      <c r="F27" s="30"/>
      <c r="G27" s="30"/>
    </row>
    <row r="28" spans="5:7" x14ac:dyDescent="0.25">
      <c r="E28" s="30"/>
      <c r="F28" s="30"/>
      <c r="G28" s="30"/>
    </row>
    <row r="29" spans="5:7" x14ac:dyDescent="0.25">
      <c r="E29" s="30"/>
      <c r="F29" s="30"/>
      <c r="G29" s="30"/>
    </row>
    <row r="30" spans="5:7" x14ac:dyDescent="0.25">
      <c r="E30" s="30"/>
      <c r="F30" s="30"/>
      <c r="G30" s="30"/>
    </row>
    <row r="31" spans="5:7" x14ac:dyDescent="0.25">
      <c r="E31" s="30"/>
      <c r="F31" s="30"/>
      <c r="G31" s="30"/>
    </row>
    <row r="32" spans="5:7" x14ac:dyDescent="0.25">
      <c r="E32" s="30"/>
      <c r="F32" s="30"/>
      <c r="G32" s="30"/>
    </row>
    <row r="33" spans="5:7" x14ac:dyDescent="0.25">
      <c r="E33" s="30"/>
      <c r="F33" s="30"/>
      <c r="G33" s="30"/>
    </row>
    <row r="34" spans="5:7" x14ac:dyDescent="0.25">
      <c r="E34" s="30"/>
      <c r="F34" s="30"/>
      <c r="G34" s="30"/>
    </row>
    <row r="35" spans="5:7" x14ac:dyDescent="0.25">
      <c r="E35" s="30"/>
      <c r="F35" s="30"/>
      <c r="G35" s="30"/>
    </row>
    <row r="36" spans="5:7" x14ac:dyDescent="0.25">
      <c r="E36" s="30"/>
      <c r="F36" s="30"/>
      <c r="G36" s="30"/>
    </row>
    <row r="37" spans="5:7" x14ac:dyDescent="0.25">
      <c r="E37" s="30"/>
      <c r="F37" s="30"/>
      <c r="G37" s="30"/>
    </row>
    <row r="38" spans="5:7" x14ac:dyDescent="0.25">
      <c r="E38" s="30"/>
      <c r="F38" s="30"/>
      <c r="G38" s="30"/>
    </row>
    <row r="39" spans="5:7" x14ac:dyDescent="0.25">
      <c r="E39" s="30"/>
      <c r="F39" s="30"/>
      <c r="G39" s="30"/>
    </row>
    <row r="40" spans="5:7" x14ac:dyDescent="0.25">
      <c r="E40" s="30"/>
      <c r="F40" s="30"/>
      <c r="G40" s="30"/>
    </row>
    <row r="41" spans="5:7" x14ac:dyDescent="0.25">
      <c r="E41" s="30"/>
      <c r="F41" s="30"/>
      <c r="G41" s="30"/>
    </row>
    <row r="42" spans="5:7" x14ac:dyDescent="0.25">
      <c r="E42" s="30"/>
      <c r="F42" s="30"/>
      <c r="G42" s="30"/>
    </row>
    <row r="43" spans="5:7" x14ac:dyDescent="0.25">
      <c r="E43" s="30"/>
      <c r="F43" s="30"/>
      <c r="G43" s="30"/>
    </row>
    <row r="44" spans="5:7" x14ac:dyDescent="0.25">
      <c r="E44" s="30"/>
      <c r="F44" s="30"/>
      <c r="G44" s="30"/>
    </row>
    <row r="45" spans="5:7" x14ac:dyDescent="0.25">
      <c r="E45" s="30"/>
      <c r="F45" s="30"/>
      <c r="G45" s="30"/>
    </row>
    <row r="46" spans="5:7" x14ac:dyDescent="0.25">
      <c r="E46" s="30"/>
      <c r="F46" s="30"/>
      <c r="G46" s="30"/>
    </row>
    <row r="47" spans="5:7" x14ac:dyDescent="0.25">
      <c r="E47" s="30"/>
      <c r="F47" s="30"/>
      <c r="G47" s="30"/>
    </row>
    <row r="48" spans="5:7" x14ac:dyDescent="0.25">
      <c r="E48" s="30"/>
      <c r="F48" s="30"/>
      <c r="G48" s="30"/>
    </row>
    <row r="49" spans="5:7" x14ac:dyDescent="0.25">
      <c r="E49" s="30"/>
      <c r="F49" s="30"/>
      <c r="G49" s="30"/>
    </row>
    <row r="50" spans="5:7" x14ac:dyDescent="0.25">
      <c r="E50" s="30"/>
      <c r="F50" s="30"/>
      <c r="G50" s="30"/>
    </row>
    <row r="51" spans="5:7" x14ac:dyDescent="0.25">
      <c r="E51" s="30"/>
      <c r="F51" s="30"/>
      <c r="G51" s="30"/>
    </row>
    <row r="52" spans="5:7" x14ac:dyDescent="0.25">
      <c r="E52" s="30"/>
      <c r="F52" s="30"/>
      <c r="G52" s="30"/>
    </row>
    <row r="53" spans="5:7" x14ac:dyDescent="0.25">
      <c r="E53" s="30"/>
      <c r="F53" s="30"/>
      <c r="G53" s="30"/>
    </row>
    <row r="54" spans="5:7" x14ac:dyDescent="0.25">
      <c r="E54" s="30"/>
      <c r="F54" s="30"/>
      <c r="G54" s="30"/>
    </row>
    <row r="55" spans="5:7" x14ac:dyDescent="0.25">
      <c r="E55" s="30"/>
      <c r="F55" s="30"/>
      <c r="G55" s="30"/>
    </row>
    <row r="56" spans="5:7" x14ac:dyDescent="0.25">
      <c r="E56" s="30"/>
      <c r="F56" s="30"/>
      <c r="G56" s="30"/>
    </row>
    <row r="57" spans="5:7" x14ac:dyDescent="0.25">
      <c r="E57" s="30"/>
      <c r="F57" s="30"/>
      <c r="G57" s="30"/>
    </row>
    <row r="58" spans="5:7" x14ac:dyDescent="0.25">
      <c r="E58" s="30"/>
      <c r="F58" s="30"/>
      <c r="G58" s="30"/>
    </row>
    <row r="59" spans="5:7" x14ac:dyDescent="0.25">
      <c r="E59" s="30"/>
      <c r="F59" s="30"/>
      <c r="G59" s="30"/>
    </row>
    <row r="60" spans="5:7" x14ac:dyDescent="0.25">
      <c r="E60" s="30"/>
      <c r="F60" s="30"/>
      <c r="G60" s="30"/>
    </row>
    <row r="61" spans="5:7" x14ac:dyDescent="0.25">
      <c r="E61" s="30"/>
      <c r="F61" s="30"/>
      <c r="G61" s="30"/>
    </row>
    <row r="62" spans="5:7" x14ac:dyDescent="0.25">
      <c r="E62" s="30"/>
      <c r="F62" s="30"/>
      <c r="G62" s="30"/>
    </row>
    <row r="63" spans="5:7" x14ac:dyDescent="0.25">
      <c r="E63" s="30"/>
      <c r="F63" s="30"/>
      <c r="G63" s="30"/>
    </row>
    <row r="64" spans="5:7" x14ac:dyDescent="0.25">
      <c r="E64" s="30"/>
      <c r="F64" s="30"/>
      <c r="G64" s="30"/>
    </row>
    <row r="65" spans="5:7" x14ac:dyDescent="0.25">
      <c r="E65" s="30"/>
      <c r="F65" s="30"/>
      <c r="G65" s="30"/>
    </row>
    <row r="66" spans="5:7" x14ac:dyDescent="0.25">
      <c r="E66" s="30"/>
      <c r="F66" s="30"/>
      <c r="G66" s="30"/>
    </row>
    <row r="67" spans="5:7" x14ac:dyDescent="0.25">
      <c r="E67" s="30"/>
      <c r="F67" s="30"/>
      <c r="G67" s="30"/>
    </row>
    <row r="68" spans="5:7" x14ac:dyDescent="0.25">
      <c r="E68" s="30"/>
      <c r="F68" s="30"/>
      <c r="G68" s="30"/>
    </row>
    <row r="69" spans="5:7" x14ac:dyDescent="0.25">
      <c r="E69" s="30"/>
      <c r="F69" s="30"/>
      <c r="G69" s="30"/>
    </row>
    <row r="70" spans="5:7" x14ac:dyDescent="0.25">
      <c r="E70" s="30"/>
      <c r="F70" s="30"/>
      <c r="G70" s="30"/>
    </row>
    <row r="71" spans="5:7" x14ac:dyDescent="0.25">
      <c r="E71" s="30"/>
      <c r="F71" s="30"/>
      <c r="G71" s="30"/>
    </row>
    <row r="72" spans="5:7" x14ac:dyDescent="0.25">
      <c r="E72" s="30"/>
      <c r="F72" s="30"/>
      <c r="G72" s="30"/>
    </row>
    <row r="73" spans="5:7" x14ac:dyDescent="0.25">
      <c r="E73" s="30"/>
      <c r="F73" s="30"/>
      <c r="G73" s="30"/>
    </row>
    <row r="74" spans="5:7" x14ac:dyDescent="0.25">
      <c r="E74" s="30"/>
      <c r="F74" s="30"/>
      <c r="G74" s="30"/>
    </row>
    <row r="75" spans="5:7" x14ac:dyDescent="0.25">
      <c r="E75" s="30"/>
      <c r="F75" s="30"/>
      <c r="G75" s="30"/>
    </row>
    <row r="76" spans="5:7" x14ac:dyDescent="0.25">
      <c r="E76" s="30"/>
      <c r="F76" s="30"/>
      <c r="G76" s="30"/>
    </row>
    <row r="77" spans="5:7" x14ac:dyDescent="0.25">
      <c r="E77" s="30"/>
      <c r="F77" s="30"/>
      <c r="G77" s="30"/>
    </row>
    <row r="78" spans="5:7" x14ac:dyDescent="0.25">
      <c r="E78" s="30"/>
      <c r="F78" s="30"/>
      <c r="G78" s="30"/>
    </row>
    <row r="79" spans="5:7" x14ac:dyDescent="0.25">
      <c r="E79" s="30"/>
      <c r="F79" s="30"/>
      <c r="G79" s="30"/>
    </row>
    <row r="80" spans="5:7" x14ac:dyDescent="0.25">
      <c r="E80" s="30"/>
      <c r="F80" s="30"/>
      <c r="G80" s="30"/>
    </row>
    <row r="81" spans="5:7" x14ac:dyDescent="0.25">
      <c r="E81" s="30"/>
      <c r="F81" s="30"/>
      <c r="G81" s="30"/>
    </row>
    <row r="82" spans="5:7" x14ac:dyDescent="0.25">
      <c r="E82" s="30"/>
      <c r="F82" s="30"/>
      <c r="G82" s="30"/>
    </row>
    <row r="83" spans="5:7" x14ac:dyDescent="0.25">
      <c r="E83" s="30"/>
      <c r="F83" s="30"/>
      <c r="G83" s="30"/>
    </row>
    <row r="84" spans="5:7" x14ac:dyDescent="0.25">
      <c r="E84" s="30"/>
      <c r="F84" s="30"/>
      <c r="G84" s="30"/>
    </row>
    <row r="85" spans="5:7" x14ac:dyDescent="0.25">
      <c r="E85" s="30"/>
      <c r="F85" s="30"/>
      <c r="G85" s="30"/>
    </row>
    <row r="86" spans="5:7" x14ac:dyDescent="0.25">
      <c r="E86" s="30"/>
      <c r="F86" s="30"/>
      <c r="G86" s="30"/>
    </row>
    <row r="87" spans="5:7" x14ac:dyDescent="0.25">
      <c r="E87" s="30"/>
      <c r="F87" s="30"/>
      <c r="G87" s="30"/>
    </row>
    <row r="88" spans="5:7" x14ac:dyDescent="0.25">
      <c r="E88" s="30"/>
      <c r="F88" s="30"/>
      <c r="G88" s="30"/>
    </row>
    <row r="89" spans="5:7" x14ac:dyDescent="0.25">
      <c r="E89" s="30"/>
      <c r="F89" s="30"/>
      <c r="G89" s="30"/>
    </row>
    <row r="90" spans="5:7" x14ac:dyDescent="0.25">
      <c r="E90" s="30"/>
      <c r="F90" s="30"/>
      <c r="G90" s="30"/>
    </row>
    <row r="91" spans="5:7" x14ac:dyDescent="0.25">
      <c r="E91" s="30"/>
      <c r="F91" s="30"/>
      <c r="G91" s="30"/>
    </row>
    <row r="92" spans="5:7" x14ac:dyDescent="0.25">
      <c r="E92" s="30"/>
      <c r="F92" s="30"/>
      <c r="G92" s="30"/>
    </row>
    <row r="93" spans="5:7" x14ac:dyDescent="0.25">
      <c r="E93" s="30"/>
      <c r="F93" s="30"/>
      <c r="G93" s="30"/>
    </row>
    <row r="94" spans="5:7" x14ac:dyDescent="0.25">
      <c r="E94" s="30"/>
      <c r="F94" s="30"/>
      <c r="G94" s="30"/>
    </row>
    <row r="95" spans="5:7" x14ac:dyDescent="0.25">
      <c r="E95" s="30"/>
      <c r="F95" s="30"/>
      <c r="G95" s="30"/>
    </row>
    <row r="96" spans="5:7" x14ac:dyDescent="0.25">
      <c r="E96" s="30"/>
      <c r="F96" s="30"/>
      <c r="G96" s="30"/>
    </row>
    <row r="97" spans="5:7" x14ac:dyDescent="0.25">
      <c r="E97" s="30"/>
      <c r="F97" s="30"/>
      <c r="G97" s="30"/>
    </row>
    <row r="98" spans="5:7" x14ac:dyDescent="0.25">
      <c r="E98" s="30"/>
      <c r="F98" s="30"/>
      <c r="G98" s="30"/>
    </row>
    <row r="99" spans="5:7" x14ac:dyDescent="0.25">
      <c r="E99" s="30"/>
      <c r="F99" s="30"/>
      <c r="G99" s="30"/>
    </row>
    <row r="100" spans="5:7" x14ac:dyDescent="0.25">
      <c r="E100" s="30"/>
      <c r="F100" s="30"/>
      <c r="G100" s="30"/>
    </row>
    <row r="101" spans="5:7" x14ac:dyDescent="0.25">
      <c r="E101" s="30"/>
      <c r="F101" s="30"/>
      <c r="G101" s="30"/>
    </row>
    <row r="102" spans="5:7" x14ac:dyDescent="0.25">
      <c r="E102" s="30"/>
      <c r="F102" s="30"/>
      <c r="G102" s="30"/>
    </row>
    <row r="103" spans="5:7" x14ac:dyDescent="0.25">
      <c r="E103" s="30"/>
      <c r="F103" s="30"/>
      <c r="G103" s="30"/>
    </row>
    <row r="104" spans="5:7" x14ac:dyDescent="0.25">
      <c r="E104" s="30"/>
      <c r="F104" s="30"/>
      <c r="G104" s="30"/>
    </row>
    <row r="105" spans="5:7" x14ac:dyDescent="0.25">
      <c r="E105" s="30"/>
      <c r="F105" s="30"/>
      <c r="G105" s="30"/>
    </row>
    <row r="106" spans="5:7" x14ac:dyDescent="0.25">
      <c r="E106" s="30"/>
      <c r="F106" s="30"/>
      <c r="G106" s="30"/>
    </row>
    <row r="107" spans="5:7" x14ac:dyDescent="0.25">
      <c r="E107" s="30"/>
      <c r="F107" s="30"/>
      <c r="G107" s="30"/>
    </row>
    <row r="108" spans="5:7" x14ac:dyDescent="0.25">
      <c r="E108" s="30"/>
      <c r="F108" s="30"/>
      <c r="G108" s="30"/>
    </row>
    <row r="109" spans="5:7" x14ac:dyDescent="0.25">
      <c r="E109" s="30"/>
      <c r="F109" s="30"/>
      <c r="G109" s="30"/>
    </row>
    <row r="110" spans="5:7" x14ac:dyDescent="0.25">
      <c r="E110" s="30"/>
      <c r="F110" s="30"/>
      <c r="G110" s="30"/>
    </row>
    <row r="111" spans="5:7" x14ac:dyDescent="0.25">
      <c r="E111" s="30"/>
      <c r="F111" s="30"/>
      <c r="G111" s="30"/>
    </row>
    <row r="112" spans="5:7" x14ac:dyDescent="0.25">
      <c r="E112" s="30"/>
      <c r="F112" s="30"/>
      <c r="G112" s="30"/>
    </row>
    <row r="113" spans="5:7" x14ac:dyDescent="0.25">
      <c r="E113" s="30"/>
      <c r="F113" s="30"/>
      <c r="G113" s="30"/>
    </row>
    <row r="114" spans="5:7" x14ac:dyDescent="0.25">
      <c r="E114" s="30"/>
      <c r="F114" s="30"/>
      <c r="G114" s="30"/>
    </row>
    <row r="115" spans="5:7" x14ac:dyDescent="0.25">
      <c r="E115" s="30"/>
      <c r="F115" s="30"/>
      <c r="G115" s="30"/>
    </row>
    <row r="116" spans="5:7" x14ac:dyDescent="0.25">
      <c r="E116" s="30"/>
      <c r="F116" s="30"/>
      <c r="G116" s="30"/>
    </row>
    <row r="117" spans="5:7" x14ac:dyDescent="0.25">
      <c r="E117" s="30"/>
      <c r="F117" s="30"/>
      <c r="G117" s="30"/>
    </row>
    <row r="118" spans="5:7" x14ac:dyDescent="0.25">
      <c r="E118" s="30"/>
      <c r="F118" s="30"/>
      <c r="G118" s="30"/>
    </row>
    <row r="119" spans="5:7" x14ac:dyDescent="0.25">
      <c r="E119" s="30"/>
      <c r="F119" s="30"/>
      <c r="G119" s="30"/>
    </row>
    <row r="120" spans="5:7" x14ac:dyDescent="0.25">
      <c r="E120" s="30"/>
      <c r="F120" s="30"/>
      <c r="G120" s="30"/>
    </row>
    <row r="121" spans="5:7" x14ac:dyDescent="0.25">
      <c r="E121" s="30"/>
      <c r="F121" s="30"/>
      <c r="G121" s="30"/>
    </row>
    <row r="122" spans="5:7" x14ac:dyDescent="0.25">
      <c r="E122" s="30"/>
      <c r="F122" s="30"/>
      <c r="G122" s="30"/>
    </row>
    <row r="123" spans="5:7" x14ac:dyDescent="0.25">
      <c r="E123" s="30"/>
      <c r="F123" s="30"/>
      <c r="G123" s="30"/>
    </row>
    <row r="124" spans="5:7" x14ac:dyDescent="0.25">
      <c r="E124" s="30"/>
      <c r="F124" s="30"/>
      <c r="G124" s="30"/>
    </row>
    <row r="125" spans="5:7" x14ac:dyDescent="0.25">
      <c r="E125" s="30"/>
      <c r="F125" s="30"/>
      <c r="G125" s="30"/>
    </row>
    <row r="126" spans="5:7" x14ac:dyDescent="0.25">
      <c r="E126" s="30"/>
      <c r="F126" s="30"/>
      <c r="G126" s="30"/>
    </row>
    <row r="127" spans="5:7" x14ac:dyDescent="0.25">
      <c r="E127" s="30"/>
      <c r="F127" s="30"/>
      <c r="G127" s="30"/>
    </row>
    <row r="128" spans="5:7" x14ac:dyDescent="0.25">
      <c r="E128" s="30"/>
      <c r="F128" s="30"/>
      <c r="G128" s="30"/>
    </row>
    <row r="129" spans="5:7" x14ac:dyDescent="0.25">
      <c r="E129" s="30"/>
      <c r="F129" s="30"/>
      <c r="G129" s="30"/>
    </row>
    <row r="130" spans="5:7" x14ac:dyDescent="0.25">
      <c r="E130" s="30"/>
      <c r="F130" s="30"/>
      <c r="G130" s="30"/>
    </row>
    <row r="131" spans="5:7" x14ac:dyDescent="0.25">
      <c r="E131" s="30"/>
      <c r="F131" s="30"/>
      <c r="G131" s="30"/>
    </row>
    <row r="132" spans="5:7" x14ac:dyDescent="0.25">
      <c r="E132" s="30"/>
      <c r="F132" s="30"/>
      <c r="G132" s="30"/>
    </row>
    <row r="133" spans="5:7" x14ac:dyDescent="0.25">
      <c r="E133" s="30"/>
      <c r="F133" s="30"/>
      <c r="G133" s="30"/>
    </row>
    <row r="134" spans="5:7" x14ac:dyDescent="0.25">
      <c r="E134" s="30"/>
      <c r="F134" s="30"/>
      <c r="G134" s="30"/>
    </row>
    <row r="135" spans="5:7" x14ac:dyDescent="0.25">
      <c r="E135" s="30"/>
      <c r="F135" s="30"/>
      <c r="G135" s="30"/>
    </row>
    <row r="136" spans="5:7" x14ac:dyDescent="0.25">
      <c r="E136" s="30"/>
      <c r="F136" s="30"/>
      <c r="G136" s="30"/>
    </row>
    <row r="137" spans="5:7" x14ac:dyDescent="0.25">
      <c r="E137" s="30"/>
      <c r="F137" s="30"/>
      <c r="G137" s="30"/>
    </row>
    <row r="138" spans="5:7" x14ac:dyDescent="0.25">
      <c r="E138" s="30"/>
      <c r="F138" s="30"/>
      <c r="G138" s="30"/>
    </row>
    <row r="139" spans="5:7" x14ac:dyDescent="0.25">
      <c r="E139" s="30"/>
      <c r="F139" s="30"/>
      <c r="G139" s="30"/>
    </row>
    <row r="140" spans="5:7" x14ac:dyDescent="0.25">
      <c r="E140" s="30"/>
      <c r="F140" s="30"/>
      <c r="G140" s="30"/>
    </row>
    <row r="141" spans="5:7" x14ac:dyDescent="0.25">
      <c r="E141" s="30"/>
      <c r="F141" s="30"/>
      <c r="G141" s="30"/>
    </row>
    <row r="142" spans="5:7" x14ac:dyDescent="0.25">
      <c r="E142" s="30"/>
      <c r="F142" s="30"/>
      <c r="G142" s="30"/>
    </row>
    <row r="143" spans="5:7" x14ac:dyDescent="0.25">
      <c r="E143" s="30"/>
      <c r="F143" s="30"/>
      <c r="G143" s="30"/>
    </row>
    <row r="144" spans="5:7" x14ac:dyDescent="0.25">
      <c r="E144" s="30"/>
      <c r="F144" s="30"/>
      <c r="G144" s="30"/>
    </row>
    <row r="145" spans="5:7" x14ac:dyDescent="0.25">
      <c r="E145" s="30"/>
      <c r="F145" s="30"/>
      <c r="G145" s="30"/>
    </row>
    <row r="146" spans="5:7" x14ac:dyDescent="0.25">
      <c r="E146" s="30"/>
      <c r="F146" s="30"/>
      <c r="G146" s="30"/>
    </row>
    <row r="147" spans="5:7" x14ac:dyDescent="0.25">
      <c r="E147" s="30"/>
      <c r="F147" s="30"/>
      <c r="G147" s="30"/>
    </row>
    <row r="148" spans="5:7" x14ac:dyDescent="0.25">
      <c r="E148" s="30"/>
      <c r="F148" s="30"/>
      <c r="G148" s="30"/>
    </row>
    <row r="149" spans="5:7" x14ac:dyDescent="0.25">
      <c r="E149" s="30"/>
      <c r="F149" s="30"/>
      <c r="G149" s="30"/>
    </row>
    <row r="150" spans="5:7" x14ac:dyDescent="0.25">
      <c r="E150" s="30"/>
      <c r="F150" s="30"/>
      <c r="G150" s="30"/>
    </row>
    <row r="151" spans="5:7" x14ac:dyDescent="0.25">
      <c r="E151" s="30"/>
      <c r="F151" s="30"/>
      <c r="G151" s="30"/>
    </row>
    <row r="152" spans="5:7" x14ac:dyDescent="0.25">
      <c r="E152" s="30"/>
      <c r="F152" s="30"/>
      <c r="G152" s="30"/>
    </row>
    <row r="153" spans="5:7" x14ac:dyDescent="0.25">
      <c r="E153" s="30"/>
      <c r="F153" s="30"/>
      <c r="G153" s="30"/>
    </row>
    <row r="154" spans="5:7" x14ac:dyDescent="0.25">
      <c r="E154" s="30"/>
      <c r="F154" s="30"/>
      <c r="G154" s="30"/>
    </row>
    <row r="155" spans="5:7" x14ac:dyDescent="0.25">
      <c r="E155" s="30"/>
      <c r="F155" s="30"/>
      <c r="G155" s="30"/>
    </row>
    <row r="156" spans="5:7" x14ac:dyDescent="0.25">
      <c r="E156" s="30"/>
      <c r="F156" s="30"/>
      <c r="G156" s="30"/>
    </row>
    <row r="157" spans="5:7" x14ac:dyDescent="0.25">
      <c r="E157" s="30"/>
      <c r="F157" s="30"/>
      <c r="G157" s="30"/>
    </row>
    <row r="158" spans="5:7" x14ac:dyDescent="0.25">
      <c r="E158" s="30"/>
      <c r="F158" s="30"/>
      <c r="G158" s="30"/>
    </row>
    <row r="159" spans="5:7" x14ac:dyDescent="0.25">
      <c r="E159" s="30"/>
      <c r="F159" s="30"/>
      <c r="G159" s="30"/>
    </row>
    <row r="160" spans="5:7" x14ac:dyDescent="0.25">
      <c r="E160" s="30"/>
      <c r="F160" s="30"/>
      <c r="G160" s="30"/>
    </row>
    <row r="161" spans="5:7" x14ac:dyDescent="0.25">
      <c r="E161" s="30"/>
      <c r="F161" s="30"/>
      <c r="G161" s="30"/>
    </row>
    <row r="162" spans="5:7" x14ac:dyDescent="0.25">
      <c r="E162" s="30"/>
      <c r="F162" s="30"/>
      <c r="G162" s="30"/>
    </row>
    <row r="163" spans="5:7" x14ac:dyDescent="0.25">
      <c r="E163" s="30"/>
      <c r="F163" s="30"/>
      <c r="G163" s="30"/>
    </row>
    <row r="164" spans="5:7" x14ac:dyDescent="0.25">
      <c r="E164" s="30"/>
      <c r="F164" s="30"/>
      <c r="G164" s="30"/>
    </row>
    <row r="165" spans="5:7" x14ac:dyDescent="0.25">
      <c r="E165" s="30"/>
      <c r="F165" s="30"/>
      <c r="G165" s="30"/>
    </row>
    <row r="166" spans="5:7" x14ac:dyDescent="0.25">
      <c r="E166" s="30"/>
      <c r="F166" s="30"/>
      <c r="G166" s="30"/>
    </row>
    <row r="167" spans="5:7" x14ac:dyDescent="0.25">
      <c r="E167" s="30"/>
      <c r="F167" s="30"/>
      <c r="G167" s="30"/>
    </row>
    <row r="168" spans="5:7" x14ac:dyDescent="0.25">
      <c r="E168" s="30"/>
      <c r="F168" s="30"/>
      <c r="G168" s="30"/>
    </row>
    <row r="169" spans="5:7" x14ac:dyDescent="0.25">
      <c r="E169" s="30"/>
      <c r="F169" s="30"/>
      <c r="G169" s="30"/>
    </row>
    <row r="170" spans="5:7" x14ac:dyDescent="0.25">
      <c r="E170" s="30"/>
      <c r="F170" s="30"/>
      <c r="G170" s="30"/>
    </row>
    <row r="171" spans="5:7" x14ac:dyDescent="0.25">
      <c r="E171" s="30"/>
      <c r="F171" s="30"/>
      <c r="G171" s="30"/>
    </row>
    <row r="172" spans="5:7" x14ac:dyDescent="0.25">
      <c r="E172" s="30"/>
      <c r="F172" s="30"/>
      <c r="G172" s="30"/>
    </row>
    <row r="173" spans="5:7" x14ac:dyDescent="0.25">
      <c r="E173" s="30"/>
      <c r="F173" s="30"/>
      <c r="G173" s="30"/>
    </row>
    <row r="174" spans="5:7" x14ac:dyDescent="0.25">
      <c r="E174" s="30"/>
      <c r="F174" s="30"/>
      <c r="G174" s="30"/>
    </row>
    <row r="175" spans="5:7" x14ac:dyDescent="0.25">
      <c r="E175" s="30"/>
      <c r="F175" s="30"/>
      <c r="G175" s="30"/>
    </row>
    <row r="176" spans="5:7" x14ac:dyDescent="0.25">
      <c r="E176" s="30"/>
      <c r="F176" s="30"/>
      <c r="G176" s="30"/>
    </row>
    <row r="177" spans="5:7" x14ac:dyDescent="0.25">
      <c r="E177" s="30"/>
      <c r="F177" s="30"/>
      <c r="G177" s="30"/>
    </row>
    <row r="178" spans="5:7" x14ac:dyDescent="0.25">
      <c r="E178" s="30"/>
      <c r="F178" s="30"/>
      <c r="G178" s="30"/>
    </row>
    <row r="179" spans="5:7" x14ac:dyDescent="0.25">
      <c r="E179" s="30"/>
      <c r="F179" s="30"/>
      <c r="G179" s="30"/>
    </row>
    <row r="180" spans="5:7" x14ac:dyDescent="0.25">
      <c r="E180" s="30"/>
      <c r="F180" s="30"/>
      <c r="G180" s="30"/>
    </row>
    <row r="181" spans="5:7" x14ac:dyDescent="0.25">
      <c r="E181" s="30"/>
      <c r="F181" s="30"/>
      <c r="G181" s="30"/>
    </row>
    <row r="182" spans="5:7" x14ac:dyDescent="0.25">
      <c r="E182" s="30"/>
      <c r="F182" s="30"/>
      <c r="G182" s="30"/>
    </row>
    <row r="183" spans="5:7" x14ac:dyDescent="0.25">
      <c r="E183" s="30"/>
      <c r="F183" s="30"/>
      <c r="G183" s="30"/>
    </row>
    <row r="184" spans="5:7" x14ac:dyDescent="0.25">
      <c r="E184" s="30"/>
      <c r="F184" s="30"/>
      <c r="G184" s="30"/>
    </row>
    <row r="185" spans="5:7" x14ac:dyDescent="0.25">
      <c r="E185" s="30"/>
      <c r="F185" s="30"/>
      <c r="G185" s="30"/>
    </row>
    <row r="186" spans="5:7" x14ac:dyDescent="0.25">
      <c r="E186" s="30"/>
      <c r="F186" s="30"/>
      <c r="G186" s="30"/>
    </row>
    <row r="187" spans="5:7" x14ac:dyDescent="0.25">
      <c r="E187" s="30"/>
      <c r="F187" s="30"/>
      <c r="G187" s="30"/>
    </row>
    <row r="188" spans="5:7" x14ac:dyDescent="0.25">
      <c r="E188" s="30"/>
      <c r="F188" s="30"/>
      <c r="G188" s="30"/>
    </row>
    <row r="189" spans="5:7" x14ac:dyDescent="0.25">
      <c r="E189" s="30"/>
      <c r="F189" s="30"/>
      <c r="G189" s="30"/>
    </row>
    <row r="190" spans="5:7" x14ac:dyDescent="0.25">
      <c r="E190" s="30"/>
      <c r="F190" s="30"/>
      <c r="G190" s="30"/>
    </row>
    <row r="191" spans="5:7" x14ac:dyDescent="0.25">
      <c r="E191" s="30"/>
      <c r="F191" s="30"/>
      <c r="G191" s="30"/>
    </row>
    <row r="192" spans="5:7" x14ac:dyDescent="0.25">
      <c r="E192" s="30"/>
      <c r="F192" s="30"/>
      <c r="G192" s="30"/>
    </row>
    <row r="193" spans="5:7" x14ac:dyDescent="0.25">
      <c r="E193" s="30"/>
      <c r="F193" s="30"/>
      <c r="G193" s="30"/>
    </row>
    <row r="194" spans="5:7" x14ac:dyDescent="0.25">
      <c r="E194" s="30"/>
      <c r="F194" s="30"/>
      <c r="G194" s="30"/>
    </row>
    <row r="195" spans="5:7" x14ac:dyDescent="0.25">
      <c r="E195" s="30"/>
      <c r="F195" s="30"/>
      <c r="G195" s="30"/>
    </row>
    <row r="196" spans="5:7" x14ac:dyDescent="0.25">
      <c r="E196" s="30"/>
      <c r="F196" s="30"/>
      <c r="G196" s="30"/>
    </row>
    <row r="197" spans="5:7" x14ac:dyDescent="0.25">
      <c r="E197" s="30"/>
      <c r="F197" s="30"/>
      <c r="G197" s="30"/>
    </row>
    <row r="198" spans="5:7" x14ac:dyDescent="0.25">
      <c r="E198" s="30"/>
      <c r="F198" s="30"/>
      <c r="G198" s="30"/>
    </row>
    <row r="199" spans="5:7" x14ac:dyDescent="0.25">
      <c r="E199" s="30"/>
      <c r="F199" s="30"/>
      <c r="G199" s="30"/>
    </row>
    <row r="200" spans="5:7" x14ac:dyDescent="0.25">
      <c r="E200" s="30"/>
      <c r="F200" s="30"/>
      <c r="G200" s="30"/>
    </row>
    <row r="201" spans="5:7" x14ac:dyDescent="0.25">
      <c r="E201" s="30"/>
      <c r="F201" s="30"/>
      <c r="G201" s="30"/>
    </row>
    <row r="202" spans="5:7" x14ac:dyDescent="0.25">
      <c r="E202" s="30"/>
      <c r="F202" s="30"/>
      <c r="G202" s="30"/>
    </row>
    <row r="203" spans="5:7" x14ac:dyDescent="0.25">
      <c r="E203" s="30"/>
      <c r="F203" s="30"/>
      <c r="G203" s="30"/>
    </row>
    <row r="204" spans="5:7" x14ac:dyDescent="0.25">
      <c r="E204" s="30"/>
      <c r="F204" s="30"/>
      <c r="G204" s="30"/>
    </row>
    <row r="205" spans="5:7" x14ac:dyDescent="0.25">
      <c r="E205" s="30"/>
      <c r="F205" s="30"/>
      <c r="G205" s="30"/>
    </row>
    <row r="206" spans="5:7" x14ac:dyDescent="0.25">
      <c r="E206" s="30"/>
      <c r="F206" s="30"/>
      <c r="G206" s="30"/>
    </row>
    <row r="207" spans="5:7" x14ac:dyDescent="0.25">
      <c r="E207" s="30"/>
      <c r="F207" s="30"/>
      <c r="G207" s="30"/>
    </row>
    <row r="208" spans="5:7" x14ac:dyDescent="0.25">
      <c r="E208" s="30"/>
      <c r="F208" s="30"/>
      <c r="G208" s="30"/>
    </row>
    <row r="209" spans="5:7" x14ac:dyDescent="0.25">
      <c r="E209" s="30"/>
      <c r="F209" s="30"/>
      <c r="G209" s="30"/>
    </row>
    <row r="210" spans="5:7" x14ac:dyDescent="0.25">
      <c r="E210" s="30"/>
      <c r="F210" s="30"/>
      <c r="G210" s="30"/>
    </row>
    <row r="211" spans="5:7" x14ac:dyDescent="0.25">
      <c r="E211" s="30"/>
      <c r="F211" s="30"/>
      <c r="G211" s="30"/>
    </row>
    <row r="212" spans="5:7" x14ac:dyDescent="0.25">
      <c r="E212" s="30"/>
      <c r="F212" s="30"/>
      <c r="G212" s="30"/>
    </row>
    <row r="213" spans="5:7" x14ac:dyDescent="0.25">
      <c r="E213" s="30"/>
      <c r="F213" s="30"/>
      <c r="G213" s="30"/>
    </row>
    <row r="214" spans="5:7" x14ac:dyDescent="0.25">
      <c r="E214" s="30"/>
      <c r="F214" s="30"/>
      <c r="G214" s="30"/>
    </row>
    <row r="215" spans="5:7" x14ac:dyDescent="0.25">
      <c r="E215" s="30"/>
      <c r="F215" s="30"/>
      <c r="G215" s="30"/>
    </row>
    <row r="216" spans="5:7" x14ac:dyDescent="0.25">
      <c r="E216" s="30"/>
      <c r="F216" s="30"/>
      <c r="G216" s="30"/>
    </row>
    <row r="217" spans="5:7" x14ac:dyDescent="0.25">
      <c r="E217" s="30"/>
      <c r="F217" s="30"/>
      <c r="G217" s="30"/>
    </row>
    <row r="218" spans="5:7" x14ac:dyDescent="0.25">
      <c r="E218" s="30"/>
      <c r="F218" s="30"/>
      <c r="G218" s="30"/>
    </row>
    <row r="219" spans="5:7" x14ac:dyDescent="0.25">
      <c r="E219" s="30"/>
      <c r="F219" s="30"/>
      <c r="G219" s="30"/>
    </row>
    <row r="220" spans="5:7" x14ac:dyDescent="0.25">
      <c r="E220" s="30"/>
      <c r="F220" s="30"/>
      <c r="G220" s="30"/>
    </row>
    <row r="221" spans="5:7" x14ac:dyDescent="0.25">
      <c r="E221" s="30"/>
      <c r="F221" s="30"/>
      <c r="G221" s="30"/>
    </row>
    <row r="222" spans="5:7" x14ac:dyDescent="0.25">
      <c r="E222" s="30"/>
      <c r="F222" s="30"/>
      <c r="G222" s="30"/>
    </row>
    <row r="223" spans="5:7" x14ac:dyDescent="0.25">
      <c r="E223" s="30"/>
      <c r="F223" s="30"/>
      <c r="G223" s="30"/>
    </row>
    <row r="224" spans="5:7" x14ac:dyDescent="0.25">
      <c r="E224" s="30"/>
      <c r="F224" s="30"/>
      <c r="G224" s="30"/>
    </row>
    <row r="225" spans="5:7" x14ac:dyDescent="0.25">
      <c r="E225" s="30"/>
      <c r="F225" s="30"/>
      <c r="G225" s="30"/>
    </row>
    <row r="226" spans="5:7" x14ac:dyDescent="0.25">
      <c r="E226" s="30"/>
      <c r="F226" s="30"/>
      <c r="G226" s="30"/>
    </row>
    <row r="227" spans="5:7" x14ac:dyDescent="0.25">
      <c r="E227" s="30"/>
      <c r="F227" s="30"/>
      <c r="G227" s="30"/>
    </row>
    <row r="228" spans="5:7" x14ac:dyDescent="0.25">
      <c r="E228" s="30"/>
      <c r="F228" s="30"/>
      <c r="G228" s="30"/>
    </row>
    <row r="229" spans="5:7" x14ac:dyDescent="0.25">
      <c r="E229" s="30"/>
      <c r="F229" s="30"/>
      <c r="G229" s="30"/>
    </row>
    <row r="230" spans="5:7" x14ac:dyDescent="0.25">
      <c r="E230" s="30"/>
      <c r="F230" s="30"/>
      <c r="G230" s="30"/>
    </row>
    <row r="231" spans="5:7" x14ac:dyDescent="0.25">
      <c r="E231" s="30"/>
      <c r="F231" s="30"/>
      <c r="G231" s="30"/>
    </row>
    <row r="232" spans="5:7" x14ac:dyDescent="0.25">
      <c r="E232" s="30"/>
      <c r="F232" s="30"/>
      <c r="G232" s="30"/>
    </row>
    <row r="233" spans="5:7" x14ac:dyDescent="0.25">
      <c r="E233" s="30"/>
      <c r="F233" s="30"/>
      <c r="G233" s="30"/>
    </row>
    <row r="234" spans="5:7" x14ac:dyDescent="0.25">
      <c r="E234" s="30"/>
      <c r="F234" s="30"/>
      <c r="G234" s="30"/>
    </row>
    <row r="235" spans="5:7" x14ac:dyDescent="0.25">
      <c r="E235" s="30"/>
      <c r="F235" s="30"/>
      <c r="G235" s="30"/>
    </row>
    <row r="236" spans="5:7" x14ac:dyDescent="0.25">
      <c r="E236" s="30"/>
      <c r="F236" s="30"/>
      <c r="G236" s="30"/>
    </row>
    <row r="237" spans="5:7" x14ac:dyDescent="0.25">
      <c r="E237" s="30"/>
      <c r="F237" s="30"/>
      <c r="G237" s="30"/>
    </row>
    <row r="238" spans="5:7" x14ac:dyDescent="0.25">
      <c r="E238" s="30"/>
      <c r="F238" s="30"/>
      <c r="G238" s="30"/>
    </row>
    <row r="239" spans="5:7" x14ac:dyDescent="0.25">
      <c r="E239" s="30"/>
      <c r="F239" s="30"/>
      <c r="G239" s="30"/>
    </row>
    <row r="240" spans="5:7" x14ac:dyDescent="0.25">
      <c r="E240" s="30"/>
      <c r="F240" s="30"/>
      <c r="G240" s="30"/>
    </row>
    <row r="241" spans="5:7" x14ac:dyDescent="0.25">
      <c r="E241" s="30"/>
      <c r="F241" s="30"/>
      <c r="G241" s="30"/>
    </row>
    <row r="242" spans="5:7" x14ac:dyDescent="0.25">
      <c r="E242" s="30"/>
      <c r="F242" s="30"/>
      <c r="G242" s="30"/>
    </row>
    <row r="243" spans="5:7" x14ac:dyDescent="0.25">
      <c r="E243" s="30"/>
      <c r="F243" s="30"/>
      <c r="G243" s="30"/>
    </row>
    <row r="244" spans="5:7" x14ac:dyDescent="0.25">
      <c r="E244" s="30"/>
      <c r="F244" s="30"/>
      <c r="G244" s="30"/>
    </row>
    <row r="245" spans="5:7" x14ac:dyDescent="0.25">
      <c r="E245" s="30"/>
      <c r="F245" s="30"/>
      <c r="G245" s="30"/>
    </row>
    <row r="246" spans="5:7" x14ac:dyDescent="0.25">
      <c r="E246" s="30"/>
      <c r="F246" s="30"/>
      <c r="G246" s="30"/>
    </row>
    <row r="247" spans="5:7" x14ac:dyDescent="0.25">
      <c r="E247" s="30"/>
      <c r="F247" s="30"/>
      <c r="G247" s="30"/>
    </row>
    <row r="248" spans="5:7" x14ac:dyDescent="0.25">
      <c r="E248" s="30"/>
      <c r="F248" s="30"/>
      <c r="G248" s="30"/>
    </row>
    <row r="249" spans="5:7" x14ac:dyDescent="0.25">
      <c r="E249" s="30"/>
      <c r="F249" s="30"/>
      <c r="G249" s="30"/>
    </row>
    <row r="250" spans="5:7" x14ac:dyDescent="0.25">
      <c r="E250" s="30"/>
      <c r="F250" s="30"/>
      <c r="G250" s="30"/>
    </row>
    <row r="251" spans="5:7" x14ac:dyDescent="0.25">
      <c r="E251" s="30"/>
      <c r="F251" s="30"/>
      <c r="G251" s="30"/>
    </row>
    <row r="252" spans="5:7" x14ac:dyDescent="0.25">
      <c r="E252" s="30"/>
      <c r="F252" s="30"/>
      <c r="G252" s="30"/>
    </row>
    <row r="253" spans="5:7" x14ac:dyDescent="0.25">
      <c r="E253" s="30"/>
      <c r="F253" s="30"/>
      <c r="G253" s="30"/>
    </row>
    <row r="254" spans="5:7" x14ac:dyDescent="0.25">
      <c r="E254" s="30"/>
      <c r="F254" s="30"/>
      <c r="G254" s="30"/>
    </row>
    <row r="255" spans="5:7" x14ac:dyDescent="0.25">
      <c r="E255" s="30"/>
      <c r="F255" s="30"/>
      <c r="G255" s="30"/>
    </row>
    <row r="256" spans="5:7" x14ac:dyDescent="0.25">
      <c r="E256" s="30"/>
      <c r="F256" s="30"/>
      <c r="G256" s="30"/>
    </row>
    <row r="257" spans="5:7" x14ac:dyDescent="0.25">
      <c r="E257" s="30"/>
      <c r="F257" s="30"/>
      <c r="G257" s="30"/>
    </row>
    <row r="258" spans="5:7" x14ac:dyDescent="0.25">
      <c r="E258" s="30"/>
      <c r="F258" s="30"/>
      <c r="G258" s="30"/>
    </row>
    <row r="259" spans="5:7" x14ac:dyDescent="0.25">
      <c r="E259" s="30"/>
      <c r="F259" s="30"/>
      <c r="G259" s="30"/>
    </row>
    <row r="260" spans="5:7" x14ac:dyDescent="0.25">
      <c r="E260" s="30"/>
      <c r="F260" s="30"/>
      <c r="G260" s="30"/>
    </row>
    <row r="261" spans="5:7" x14ac:dyDescent="0.25">
      <c r="E261" s="30"/>
      <c r="F261" s="30"/>
      <c r="G261" s="30"/>
    </row>
    <row r="262" spans="5:7" x14ac:dyDescent="0.25">
      <c r="E262" s="30"/>
      <c r="F262" s="30"/>
      <c r="G262" s="30"/>
    </row>
    <row r="263" spans="5:7" x14ac:dyDescent="0.25">
      <c r="E263" s="30"/>
      <c r="F263" s="30"/>
      <c r="G263" s="30"/>
    </row>
    <row r="264" spans="5:7" x14ac:dyDescent="0.25">
      <c r="E264" s="30"/>
      <c r="F264" s="30"/>
      <c r="G264" s="30"/>
    </row>
    <row r="265" spans="5:7" x14ac:dyDescent="0.25">
      <c r="E265" s="30"/>
      <c r="F265" s="30"/>
      <c r="G265" s="30"/>
    </row>
    <row r="266" spans="5:7" x14ac:dyDescent="0.25">
      <c r="E266" s="30"/>
      <c r="F266" s="30"/>
      <c r="G266" s="30"/>
    </row>
    <row r="267" spans="5:7" x14ac:dyDescent="0.25">
      <c r="E267" s="30"/>
      <c r="F267" s="30"/>
      <c r="G267" s="30"/>
    </row>
    <row r="268" spans="5:7" x14ac:dyDescent="0.25">
      <c r="E268" s="30"/>
      <c r="F268" s="30"/>
      <c r="G268" s="30"/>
    </row>
    <row r="269" spans="5:7" x14ac:dyDescent="0.25">
      <c r="E269" s="30"/>
      <c r="F269" s="30"/>
      <c r="G269" s="30"/>
    </row>
    <row r="270" spans="5:7" x14ac:dyDescent="0.25">
      <c r="E270" s="30"/>
      <c r="F270" s="30"/>
      <c r="G270" s="30"/>
    </row>
    <row r="271" spans="5:7" x14ac:dyDescent="0.25">
      <c r="E271" s="30"/>
      <c r="F271" s="30"/>
      <c r="G271" s="30"/>
    </row>
    <row r="272" spans="5:7" x14ac:dyDescent="0.25">
      <c r="E272" s="30"/>
      <c r="F272" s="30"/>
      <c r="G272" s="30"/>
    </row>
    <row r="273" spans="5:7" x14ac:dyDescent="0.25">
      <c r="E273" s="30"/>
      <c r="F273" s="30"/>
      <c r="G273" s="30"/>
    </row>
    <row r="274" spans="5:7" x14ac:dyDescent="0.25">
      <c r="E274" s="30"/>
      <c r="F274" s="30"/>
      <c r="G274" s="30"/>
    </row>
    <row r="275" spans="5:7" x14ac:dyDescent="0.25">
      <c r="E275" s="30"/>
      <c r="F275" s="30"/>
      <c r="G275" s="30"/>
    </row>
    <row r="276" spans="5:7" x14ac:dyDescent="0.25">
      <c r="E276" s="30"/>
      <c r="F276" s="30"/>
      <c r="G276" s="30"/>
    </row>
    <row r="277" spans="5:7" x14ac:dyDescent="0.25">
      <c r="E277" s="30"/>
      <c r="F277" s="30"/>
      <c r="G277" s="30"/>
    </row>
    <row r="278" spans="5:7" x14ac:dyDescent="0.25">
      <c r="E278" s="30"/>
      <c r="F278" s="30"/>
      <c r="G278" s="30"/>
    </row>
    <row r="279" spans="5:7" x14ac:dyDescent="0.25">
      <c r="E279" s="30"/>
      <c r="F279" s="30"/>
      <c r="G279" s="30"/>
    </row>
    <row r="280" spans="5:7" x14ac:dyDescent="0.25">
      <c r="E280" s="30"/>
      <c r="F280" s="30"/>
      <c r="G280" s="30"/>
    </row>
    <row r="281" spans="5:7" x14ac:dyDescent="0.25">
      <c r="E281" s="30"/>
      <c r="F281" s="30"/>
      <c r="G281" s="30"/>
    </row>
    <row r="282" spans="5:7" x14ac:dyDescent="0.25">
      <c r="E282" s="30"/>
      <c r="F282" s="30"/>
      <c r="G282" s="30"/>
    </row>
    <row r="283" spans="5:7" x14ac:dyDescent="0.25">
      <c r="E283" s="30"/>
      <c r="F283" s="30"/>
      <c r="G283" s="30"/>
    </row>
    <row r="284" spans="5:7" x14ac:dyDescent="0.25">
      <c r="E284" s="30"/>
      <c r="F284" s="30"/>
      <c r="G284" s="30"/>
    </row>
    <row r="285" spans="5:7" x14ac:dyDescent="0.25">
      <c r="E285" s="30"/>
      <c r="F285" s="30"/>
      <c r="G285" s="30"/>
    </row>
    <row r="286" spans="5:7" x14ac:dyDescent="0.25">
      <c r="E286" s="30"/>
      <c r="F286" s="30"/>
      <c r="G286" s="30"/>
    </row>
    <row r="287" spans="5:7" x14ac:dyDescent="0.25">
      <c r="E287" s="30"/>
      <c r="F287" s="30"/>
      <c r="G287" s="30"/>
    </row>
    <row r="288" spans="5:7" x14ac:dyDescent="0.25">
      <c r="E288" s="30"/>
      <c r="F288" s="30"/>
      <c r="G288" s="30"/>
    </row>
    <row r="289" spans="5:7" x14ac:dyDescent="0.25">
      <c r="E289" s="30"/>
      <c r="F289" s="30"/>
      <c r="G289" s="30"/>
    </row>
    <row r="290" spans="5:7" x14ac:dyDescent="0.25">
      <c r="E290" s="30"/>
      <c r="F290" s="30"/>
      <c r="G290" s="30"/>
    </row>
    <row r="291" spans="5:7" x14ac:dyDescent="0.25">
      <c r="E291" s="30"/>
      <c r="F291" s="30"/>
      <c r="G291" s="30"/>
    </row>
    <row r="292" spans="5:7" x14ac:dyDescent="0.25">
      <c r="E292" s="30"/>
      <c r="F292" s="30"/>
      <c r="G292" s="30"/>
    </row>
    <row r="293" spans="5:7" x14ac:dyDescent="0.25">
      <c r="E293" s="30"/>
      <c r="F293" s="30"/>
      <c r="G293" s="30"/>
    </row>
    <row r="294" spans="5:7" x14ac:dyDescent="0.25">
      <c r="E294" s="30"/>
      <c r="F294" s="30"/>
      <c r="G294" s="30"/>
    </row>
    <row r="295" spans="5:7" x14ac:dyDescent="0.25">
      <c r="E295" s="30"/>
      <c r="F295" s="30"/>
      <c r="G295" s="30"/>
    </row>
    <row r="296" spans="5:7" x14ac:dyDescent="0.25">
      <c r="E296" s="30"/>
      <c r="F296" s="30"/>
      <c r="G296" s="30"/>
    </row>
    <row r="297" spans="5:7" x14ac:dyDescent="0.25">
      <c r="E297" s="30"/>
      <c r="F297" s="30"/>
      <c r="G297" s="30"/>
    </row>
    <row r="298" spans="5:7" x14ac:dyDescent="0.25">
      <c r="E298" s="30"/>
      <c r="F298" s="30"/>
      <c r="G298" s="30"/>
    </row>
    <row r="299" spans="5:7" x14ac:dyDescent="0.25">
      <c r="E299" s="30"/>
      <c r="F299" s="30"/>
      <c r="G299" s="30"/>
    </row>
    <row r="300" spans="5:7" x14ac:dyDescent="0.25">
      <c r="E300" s="30"/>
      <c r="F300" s="30"/>
      <c r="G300" s="30"/>
    </row>
    <row r="301" spans="5:7" x14ac:dyDescent="0.25">
      <c r="E301" s="30"/>
      <c r="F301" s="30"/>
      <c r="G301" s="30"/>
    </row>
    <row r="302" spans="5:7" x14ac:dyDescent="0.25">
      <c r="E302" s="30"/>
      <c r="F302" s="30"/>
      <c r="G302" s="30"/>
    </row>
    <row r="303" spans="5:7" x14ac:dyDescent="0.25">
      <c r="E303" s="30"/>
      <c r="F303" s="30"/>
      <c r="G303" s="30"/>
    </row>
    <row r="304" spans="5:7" x14ac:dyDescent="0.25">
      <c r="E304" s="30"/>
      <c r="F304" s="30"/>
      <c r="G304" s="30"/>
    </row>
    <row r="305" spans="5:7" x14ac:dyDescent="0.25">
      <c r="E305" s="30"/>
      <c r="F305" s="30"/>
      <c r="G305" s="30"/>
    </row>
    <row r="306" spans="5:7" x14ac:dyDescent="0.25">
      <c r="E306" s="30"/>
      <c r="F306" s="30"/>
      <c r="G306" s="30"/>
    </row>
    <row r="307" spans="5:7" x14ac:dyDescent="0.25">
      <c r="E307" s="30"/>
      <c r="F307" s="30"/>
      <c r="G307" s="30"/>
    </row>
    <row r="308" spans="5:7" x14ac:dyDescent="0.25">
      <c r="E308" s="30"/>
      <c r="F308" s="30"/>
      <c r="G308" s="30"/>
    </row>
    <row r="309" spans="5:7" x14ac:dyDescent="0.25">
      <c r="E309" s="30"/>
      <c r="F309" s="30"/>
      <c r="G309" s="30"/>
    </row>
    <row r="310" spans="5:7" x14ac:dyDescent="0.25">
      <c r="E310" s="30"/>
      <c r="F310" s="30"/>
      <c r="G310" s="30"/>
    </row>
    <row r="311" spans="5:7" x14ac:dyDescent="0.25">
      <c r="E311" s="30"/>
      <c r="F311" s="30"/>
      <c r="G311" s="30"/>
    </row>
    <row r="312" spans="5:7" x14ac:dyDescent="0.25">
      <c r="E312" s="30"/>
      <c r="F312" s="30"/>
      <c r="G312" s="30"/>
    </row>
    <row r="313" spans="5:7" x14ac:dyDescent="0.25">
      <c r="E313" s="30"/>
      <c r="F313" s="30"/>
      <c r="G313" s="30"/>
    </row>
    <row r="314" spans="5:7" x14ac:dyDescent="0.25">
      <c r="E314" s="30"/>
      <c r="F314" s="30"/>
      <c r="G314" s="30"/>
    </row>
    <row r="315" spans="5:7" x14ac:dyDescent="0.25">
      <c r="E315" s="30"/>
      <c r="F315" s="30"/>
      <c r="G315" s="30"/>
    </row>
    <row r="316" spans="5:7" x14ac:dyDescent="0.25">
      <c r="E316" s="30"/>
      <c r="F316" s="30"/>
      <c r="G316" s="30"/>
    </row>
    <row r="317" spans="5:7" x14ac:dyDescent="0.25">
      <c r="E317" s="30"/>
      <c r="F317" s="30"/>
      <c r="G317" s="30"/>
    </row>
    <row r="318" spans="5:7" x14ac:dyDescent="0.25">
      <c r="E318" s="30"/>
      <c r="F318" s="30"/>
      <c r="G318" s="30"/>
    </row>
    <row r="319" spans="5:7" x14ac:dyDescent="0.25">
      <c r="E319" s="30"/>
      <c r="F319" s="30"/>
      <c r="G319" s="30"/>
    </row>
    <row r="320" spans="5:7" x14ac:dyDescent="0.25">
      <c r="E320" s="30"/>
      <c r="F320" s="30"/>
      <c r="G320" s="30"/>
    </row>
    <row r="321" spans="5:7" x14ac:dyDescent="0.25">
      <c r="E321" s="30"/>
      <c r="F321" s="30"/>
      <c r="G321" s="30"/>
    </row>
    <row r="322" spans="5:7" x14ac:dyDescent="0.25">
      <c r="E322" s="30"/>
      <c r="F322" s="30"/>
      <c r="G322" s="30"/>
    </row>
    <row r="323" spans="5:7" x14ac:dyDescent="0.25">
      <c r="E323" s="30"/>
      <c r="F323" s="30"/>
      <c r="G323" s="30"/>
    </row>
    <row r="324" spans="5:7" x14ac:dyDescent="0.25">
      <c r="E324" s="30"/>
      <c r="F324" s="30"/>
      <c r="G324" s="30"/>
    </row>
    <row r="325" spans="5:7" x14ac:dyDescent="0.25">
      <c r="E325" s="30"/>
      <c r="F325" s="30"/>
      <c r="G325" s="30"/>
    </row>
    <row r="326" spans="5:7" x14ac:dyDescent="0.25">
      <c r="E326" s="30"/>
      <c r="F326" s="30"/>
      <c r="G326" s="30"/>
    </row>
    <row r="327" spans="5:7" x14ac:dyDescent="0.25">
      <c r="E327" s="30"/>
      <c r="F327" s="30"/>
      <c r="G327" s="30"/>
    </row>
    <row r="328" spans="5:7" x14ac:dyDescent="0.25">
      <c r="E328" s="30"/>
      <c r="F328" s="30"/>
      <c r="G328" s="30"/>
    </row>
    <row r="329" spans="5:7" x14ac:dyDescent="0.25">
      <c r="E329" s="30"/>
      <c r="F329" s="30"/>
      <c r="G329" s="30"/>
    </row>
    <row r="330" spans="5:7" x14ac:dyDescent="0.25">
      <c r="E330" s="30"/>
      <c r="F330" s="30"/>
      <c r="G330" s="30"/>
    </row>
    <row r="331" spans="5:7" x14ac:dyDescent="0.25">
      <c r="E331" s="30"/>
      <c r="F331" s="30"/>
      <c r="G331" s="30"/>
    </row>
    <row r="332" spans="5:7" x14ac:dyDescent="0.25">
      <c r="E332" s="30"/>
      <c r="F332" s="30"/>
      <c r="G332" s="30"/>
    </row>
    <row r="333" spans="5:7" x14ac:dyDescent="0.25">
      <c r="E333" s="30"/>
      <c r="F333" s="30"/>
      <c r="G333" s="30"/>
    </row>
    <row r="334" spans="5:7" x14ac:dyDescent="0.25">
      <c r="E334" s="30"/>
      <c r="F334" s="30"/>
      <c r="G334" s="30"/>
    </row>
    <row r="335" spans="5:7" x14ac:dyDescent="0.25">
      <c r="E335" s="30"/>
      <c r="F335" s="30"/>
      <c r="G335" s="30"/>
    </row>
    <row r="336" spans="5:7" x14ac:dyDescent="0.25">
      <c r="E336" s="30"/>
      <c r="F336" s="30"/>
      <c r="G336" s="30"/>
    </row>
    <row r="337" spans="5:7" x14ac:dyDescent="0.25">
      <c r="E337" s="30"/>
      <c r="F337" s="30"/>
      <c r="G337" s="30"/>
    </row>
    <row r="338" spans="5:7" x14ac:dyDescent="0.25">
      <c r="E338" s="30"/>
      <c r="F338" s="30"/>
      <c r="G338" s="30"/>
    </row>
    <row r="339" spans="5:7" x14ac:dyDescent="0.25">
      <c r="E339" s="30"/>
      <c r="F339" s="30"/>
      <c r="G339" s="30"/>
    </row>
    <row r="340" spans="5:7" x14ac:dyDescent="0.25">
      <c r="E340" s="30"/>
      <c r="F340" s="30"/>
      <c r="G340" s="30"/>
    </row>
    <row r="341" spans="5:7" x14ac:dyDescent="0.25">
      <c r="E341" s="30"/>
      <c r="F341" s="30"/>
      <c r="G341" s="30"/>
    </row>
    <row r="342" spans="5:7" x14ac:dyDescent="0.25">
      <c r="E342" s="30"/>
      <c r="F342" s="30"/>
      <c r="G342" s="30"/>
    </row>
    <row r="343" spans="5:7" x14ac:dyDescent="0.25">
      <c r="E343" s="30"/>
      <c r="F343" s="30"/>
      <c r="G343" s="30"/>
    </row>
    <row r="344" spans="5:7" x14ac:dyDescent="0.25">
      <c r="E344" s="30"/>
      <c r="F344" s="30"/>
      <c r="G344" s="30"/>
    </row>
    <row r="345" spans="5:7" x14ac:dyDescent="0.25">
      <c r="E345" s="30"/>
      <c r="F345" s="30"/>
      <c r="G345" s="30"/>
    </row>
    <row r="346" spans="5:7" x14ac:dyDescent="0.25">
      <c r="E346" s="30"/>
      <c r="F346" s="30"/>
      <c r="G346" s="30"/>
    </row>
    <row r="347" spans="5:7" x14ac:dyDescent="0.25">
      <c r="E347" s="30"/>
      <c r="F347" s="30"/>
      <c r="G347" s="30"/>
    </row>
    <row r="348" spans="5:7" x14ac:dyDescent="0.25">
      <c r="E348" s="30"/>
      <c r="F348" s="30"/>
      <c r="G348" s="30"/>
    </row>
    <row r="349" spans="5:7" x14ac:dyDescent="0.25">
      <c r="E349" s="30"/>
      <c r="F349" s="30"/>
      <c r="G349" s="30"/>
    </row>
    <row r="350" spans="5:7" x14ac:dyDescent="0.25">
      <c r="E350" s="30"/>
      <c r="F350" s="30"/>
      <c r="G350" s="30"/>
    </row>
    <row r="351" spans="5:7" x14ac:dyDescent="0.25">
      <c r="E351" s="30"/>
      <c r="F351" s="30"/>
      <c r="G351" s="30"/>
    </row>
    <row r="352" spans="5:7" x14ac:dyDescent="0.25">
      <c r="E352" s="30"/>
      <c r="F352" s="30"/>
      <c r="G352" s="30"/>
    </row>
    <row r="353" spans="5:7" x14ac:dyDescent="0.25">
      <c r="E353" s="30"/>
      <c r="F353" s="30"/>
      <c r="G353" s="30"/>
    </row>
    <row r="354" spans="5:7" x14ac:dyDescent="0.25">
      <c r="E354" s="30"/>
      <c r="F354" s="30"/>
      <c r="G354" s="30"/>
    </row>
    <row r="355" spans="5:7" x14ac:dyDescent="0.25">
      <c r="E355" s="30"/>
      <c r="F355" s="30"/>
      <c r="G355" s="30"/>
    </row>
    <row r="356" spans="5:7" x14ac:dyDescent="0.25">
      <c r="E356" s="30"/>
      <c r="F356" s="30"/>
      <c r="G356" s="30"/>
    </row>
    <row r="357" spans="5:7" x14ac:dyDescent="0.25">
      <c r="E357" s="30"/>
      <c r="F357" s="30"/>
      <c r="G357" s="30"/>
    </row>
    <row r="358" spans="5:7" x14ac:dyDescent="0.25">
      <c r="E358" s="30"/>
      <c r="F358" s="30"/>
      <c r="G358" s="30"/>
    </row>
    <row r="359" spans="5:7" x14ac:dyDescent="0.25">
      <c r="E359" s="30"/>
      <c r="F359" s="30"/>
      <c r="G359" s="30"/>
    </row>
    <row r="360" spans="5:7" x14ac:dyDescent="0.25">
      <c r="E360" s="30"/>
      <c r="F360" s="30"/>
      <c r="G360" s="30"/>
    </row>
    <row r="361" spans="5:7" x14ac:dyDescent="0.25">
      <c r="E361" s="30"/>
      <c r="F361" s="30"/>
      <c r="G361" s="30"/>
    </row>
    <row r="362" spans="5:7" x14ac:dyDescent="0.25">
      <c r="E362" s="30"/>
      <c r="F362" s="30"/>
      <c r="G362" s="30"/>
    </row>
    <row r="363" spans="5:7" x14ac:dyDescent="0.25">
      <c r="E363" s="30"/>
      <c r="F363" s="30"/>
      <c r="G363" s="30"/>
    </row>
    <row r="364" spans="5:7" x14ac:dyDescent="0.25">
      <c r="E364" s="30"/>
      <c r="F364" s="30"/>
      <c r="G364" s="30"/>
    </row>
    <row r="365" spans="5:7" x14ac:dyDescent="0.25">
      <c r="E365" s="30"/>
      <c r="F365" s="30"/>
      <c r="G365" s="30"/>
    </row>
    <row r="366" spans="5:7" x14ac:dyDescent="0.25">
      <c r="E366" s="30"/>
      <c r="F366" s="30"/>
      <c r="G366" s="30"/>
    </row>
    <row r="367" spans="5:7" x14ac:dyDescent="0.25">
      <c r="E367" s="30"/>
      <c r="F367" s="30"/>
      <c r="G367" s="30"/>
    </row>
    <row r="368" spans="5:7" x14ac:dyDescent="0.25">
      <c r="E368" s="30"/>
      <c r="F368" s="30"/>
      <c r="G368" s="30"/>
    </row>
    <row r="369" spans="5:7" x14ac:dyDescent="0.25">
      <c r="E369" s="30"/>
      <c r="F369" s="30"/>
      <c r="G369" s="30"/>
    </row>
    <row r="370" spans="5:7" x14ac:dyDescent="0.25">
      <c r="E370" s="30"/>
      <c r="F370" s="30"/>
      <c r="G370" s="30"/>
    </row>
    <row r="371" spans="5:7" x14ac:dyDescent="0.25">
      <c r="E371" s="30"/>
      <c r="F371" s="30"/>
      <c r="G371" s="30"/>
    </row>
    <row r="372" spans="5:7" x14ac:dyDescent="0.25">
      <c r="E372" s="30"/>
      <c r="F372" s="30"/>
      <c r="G372" s="30"/>
    </row>
    <row r="373" spans="5:7" x14ac:dyDescent="0.25">
      <c r="E373" s="30"/>
      <c r="F373" s="30"/>
      <c r="G373" s="30"/>
    </row>
    <row r="374" spans="5:7" x14ac:dyDescent="0.25">
      <c r="E374" s="30"/>
      <c r="F374" s="30"/>
      <c r="G374" s="30"/>
    </row>
    <row r="375" spans="5:7" x14ac:dyDescent="0.25">
      <c r="E375" s="30"/>
      <c r="F375" s="30"/>
      <c r="G375" s="30"/>
    </row>
    <row r="376" spans="5:7" x14ac:dyDescent="0.25">
      <c r="E376" s="30"/>
      <c r="F376" s="30"/>
      <c r="G376" s="30"/>
    </row>
    <row r="377" spans="5:7" x14ac:dyDescent="0.25">
      <c r="E377" s="30"/>
      <c r="F377" s="30"/>
      <c r="G377" s="30"/>
    </row>
    <row r="378" spans="5:7" x14ac:dyDescent="0.25">
      <c r="E378" s="30"/>
      <c r="F378" s="30"/>
      <c r="G378" s="30"/>
    </row>
    <row r="379" spans="5:7" x14ac:dyDescent="0.25">
      <c r="E379" s="30"/>
      <c r="F379" s="30"/>
      <c r="G379" s="30"/>
    </row>
    <row r="380" spans="5:7" x14ac:dyDescent="0.25">
      <c r="E380" s="30"/>
      <c r="F380" s="30"/>
      <c r="G380" s="30"/>
    </row>
    <row r="381" spans="5:7" x14ac:dyDescent="0.25">
      <c r="E381" s="30"/>
      <c r="F381" s="30"/>
      <c r="G381" s="30"/>
    </row>
    <row r="382" spans="5:7" x14ac:dyDescent="0.25">
      <c r="E382" s="30"/>
      <c r="F382" s="30"/>
      <c r="G382" s="30"/>
    </row>
    <row r="383" spans="5:7" x14ac:dyDescent="0.25">
      <c r="E383" s="30"/>
      <c r="F383" s="30"/>
      <c r="G383" s="30"/>
    </row>
    <row r="384" spans="5:7" x14ac:dyDescent="0.25">
      <c r="E384" s="30"/>
      <c r="F384" s="30"/>
      <c r="G384" s="30"/>
    </row>
    <row r="385" spans="5:7" x14ac:dyDescent="0.25">
      <c r="E385" s="30"/>
      <c r="F385" s="30"/>
      <c r="G385" s="30"/>
    </row>
    <row r="386" spans="5:7" x14ac:dyDescent="0.25">
      <c r="E386" s="30"/>
      <c r="F386" s="30"/>
      <c r="G386" s="30"/>
    </row>
    <row r="387" spans="5:7" x14ac:dyDescent="0.25">
      <c r="E387" s="30"/>
      <c r="F387" s="30"/>
      <c r="G387" s="30"/>
    </row>
    <row r="388" spans="5:7" x14ac:dyDescent="0.25">
      <c r="E388" s="30"/>
      <c r="F388" s="30"/>
      <c r="G388" s="30"/>
    </row>
    <row r="389" spans="5:7" x14ac:dyDescent="0.25">
      <c r="E389" s="30"/>
      <c r="F389" s="30"/>
      <c r="G389" s="30"/>
    </row>
    <row r="390" spans="5:7" x14ac:dyDescent="0.25">
      <c r="E390" s="30"/>
      <c r="F390" s="30"/>
      <c r="G390" s="30"/>
    </row>
    <row r="391" spans="5:7" x14ac:dyDescent="0.25">
      <c r="E391" s="30"/>
      <c r="F391" s="30"/>
      <c r="G391" s="30"/>
    </row>
    <row r="392" spans="5:7" x14ac:dyDescent="0.25">
      <c r="E392" s="30"/>
      <c r="F392" s="30"/>
      <c r="G392" s="30"/>
    </row>
    <row r="393" spans="5:7" x14ac:dyDescent="0.25">
      <c r="E393" s="30"/>
      <c r="F393" s="30"/>
      <c r="G393" s="30"/>
    </row>
    <row r="394" spans="5:7" x14ac:dyDescent="0.25">
      <c r="E394" s="30"/>
      <c r="F394" s="30"/>
      <c r="G394" s="30"/>
    </row>
    <row r="395" spans="5:7" x14ac:dyDescent="0.25">
      <c r="E395" s="30"/>
      <c r="F395" s="30"/>
      <c r="G395" s="30"/>
    </row>
    <row r="396" spans="5:7" x14ac:dyDescent="0.25">
      <c r="E396" s="30"/>
      <c r="F396" s="30"/>
      <c r="G396" s="30"/>
    </row>
    <row r="397" spans="5:7" x14ac:dyDescent="0.25">
      <c r="E397" s="30"/>
      <c r="F397" s="30"/>
      <c r="G397" s="30"/>
    </row>
    <row r="398" spans="5:7" x14ac:dyDescent="0.25">
      <c r="E398" s="30"/>
      <c r="F398" s="30"/>
      <c r="G398" s="30"/>
    </row>
    <row r="399" spans="5:7" x14ac:dyDescent="0.25">
      <c r="E399" s="30"/>
      <c r="F399" s="30"/>
      <c r="G399" s="30"/>
    </row>
    <row r="400" spans="5:7" x14ac:dyDescent="0.25">
      <c r="E400" s="30"/>
      <c r="F400" s="30"/>
      <c r="G400" s="30"/>
    </row>
    <row r="401" spans="5:7" x14ac:dyDescent="0.25">
      <c r="E401" s="30"/>
      <c r="F401" s="30"/>
      <c r="G401" s="30"/>
    </row>
    <row r="402" spans="5:7" x14ac:dyDescent="0.25">
      <c r="E402" s="30"/>
      <c r="F402" s="30"/>
      <c r="G402" s="30"/>
    </row>
    <row r="403" spans="5:7" x14ac:dyDescent="0.25">
      <c r="E403" s="30"/>
      <c r="F403" s="30"/>
      <c r="G403" s="30"/>
    </row>
    <row r="404" spans="5:7" x14ac:dyDescent="0.25">
      <c r="E404" s="30"/>
      <c r="F404" s="30"/>
      <c r="G404" s="30"/>
    </row>
    <row r="405" spans="5:7" x14ac:dyDescent="0.25">
      <c r="E405" s="30"/>
      <c r="F405" s="30"/>
      <c r="G405" s="30"/>
    </row>
    <row r="406" spans="5:7" x14ac:dyDescent="0.25">
      <c r="E406" s="30"/>
      <c r="F406" s="30"/>
      <c r="G406" s="30"/>
    </row>
    <row r="407" spans="5:7" x14ac:dyDescent="0.25">
      <c r="E407" s="30"/>
      <c r="F407" s="30"/>
      <c r="G407" s="30"/>
    </row>
    <row r="408" spans="5:7" x14ac:dyDescent="0.25">
      <c r="E408" s="30"/>
      <c r="F408" s="30"/>
      <c r="G408" s="30"/>
    </row>
    <row r="409" spans="5:7" x14ac:dyDescent="0.25">
      <c r="E409" s="30"/>
      <c r="F409" s="30"/>
      <c r="G409" s="30"/>
    </row>
    <row r="410" spans="5:7" x14ac:dyDescent="0.25">
      <c r="E410" s="30"/>
      <c r="F410" s="30"/>
      <c r="G410" s="30"/>
    </row>
    <row r="411" spans="5:7" x14ac:dyDescent="0.25">
      <c r="E411" s="30"/>
      <c r="F411" s="30"/>
      <c r="G411" s="30"/>
    </row>
    <row r="412" spans="5:7" x14ac:dyDescent="0.25">
      <c r="E412" s="30"/>
      <c r="F412" s="30"/>
      <c r="G412" s="30"/>
    </row>
    <row r="413" spans="5:7" x14ac:dyDescent="0.25">
      <c r="E413" s="30"/>
      <c r="F413" s="30"/>
      <c r="G413" s="30"/>
    </row>
    <row r="414" spans="5:7" x14ac:dyDescent="0.25">
      <c r="E414" s="30"/>
      <c r="F414" s="30"/>
      <c r="G414" s="30"/>
    </row>
    <row r="415" spans="5:7" x14ac:dyDescent="0.25">
      <c r="E415" s="30"/>
      <c r="F415" s="30"/>
      <c r="G415" s="30"/>
    </row>
    <row r="416" spans="5:7" x14ac:dyDescent="0.25">
      <c r="E416" s="30"/>
      <c r="F416" s="30"/>
      <c r="G416" s="30"/>
    </row>
    <row r="417" spans="5:7" x14ac:dyDescent="0.25">
      <c r="E417" s="30"/>
      <c r="F417" s="30"/>
      <c r="G417" s="30"/>
    </row>
    <row r="418" spans="5:7" x14ac:dyDescent="0.25">
      <c r="E418" s="30"/>
      <c r="F418" s="30"/>
      <c r="G418" s="30"/>
    </row>
    <row r="419" spans="5:7" x14ac:dyDescent="0.25">
      <c r="E419" s="30"/>
      <c r="F419" s="30"/>
      <c r="G419" s="30"/>
    </row>
    <row r="420" spans="5:7" x14ac:dyDescent="0.25">
      <c r="E420" s="30"/>
      <c r="F420" s="30"/>
      <c r="G420" s="30"/>
    </row>
    <row r="421" spans="5:7" x14ac:dyDescent="0.25">
      <c r="E421" s="30"/>
      <c r="F421" s="30"/>
      <c r="G421" s="30"/>
    </row>
    <row r="422" spans="5:7" x14ac:dyDescent="0.25">
      <c r="E422" s="30"/>
      <c r="F422" s="30"/>
      <c r="G422" s="30"/>
    </row>
    <row r="423" spans="5:7" x14ac:dyDescent="0.25">
      <c r="E423" s="30"/>
      <c r="F423" s="30"/>
      <c r="G423" s="30"/>
    </row>
    <row r="424" spans="5:7" x14ac:dyDescent="0.25">
      <c r="E424" s="30"/>
      <c r="F424" s="30"/>
      <c r="G424" s="30"/>
    </row>
    <row r="425" spans="5:7" x14ac:dyDescent="0.25">
      <c r="E425" s="30"/>
      <c r="F425" s="30"/>
      <c r="G425" s="30"/>
    </row>
    <row r="426" spans="5:7" x14ac:dyDescent="0.25">
      <c r="E426" s="30"/>
      <c r="F426" s="30"/>
      <c r="G426" s="30"/>
    </row>
    <row r="427" spans="5:7" x14ac:dyDescent="0.25">
      <c r="E427" s="30"/>
      <c r="F427" s="30"/>
      <c r="G427" s="30"/>
    </row>
    <row r="428" spans="5:7" x14ac:dyDescent="0.25">
      <c r="E428" s="30"/>
      <c r="F428" s="30"/>
      <c r="G428" s="30"/>
    </row>
    <row r="429" spans="5:7" x14ac:dyDescent="0.25">
      <c r="E429" s="30"/>
      <c r="F429" s="30"/>
      <c r="G429" s="30"/>
    </row>
    <row r="430" spans="5:7" x14ac:dyDescent="0.25">
      <c r="E430" s="30"/>
      <c r="F430" s="30"/>
      <c r="G430" s="30"/>
    </row>
    <row r="431" spans="5:7" x14ac:dyDescent="0.25">
      <c r="E431" s="30"/>
      <c r="F431" s="30"/>
      <c r="G431" s="30"/>
    </row>
    <row r="432" spans="5:7" x14ac:dyDescent="0.25">
      <c r="E432" s="30"/>
      <c r="F432" s="30"/>
      <c r="G432" s="30"/>
    </row>
    <row r="433" spans="5:7" x14ac:dyDescent="0.25">
      <c r="E433" s="30"/>
      <c r="F433" s="30"/>
      <c r="G433" s="30"/>
    </row>
    <row r="434" spans="5:7" x14ac:dyDescent="0.25">
      <c r="E434" s="30"/>
      <c r="F434" s="30"/>
      <c r="G434" s="30"/>
    </row>
    <row r="435" spans="5:7" x14ac:dyDescent="0.25">
      <c r="E435" s="30"/>
      <c r="F435" s="30"/>
      <c r="G435" s="30"/>
    </row>
    <row r="436" spans="5:7" x14ac:dyDescent="0.25">
      <c r="E436" s="30"/>
      <c r="F436" s="30"/>
      <c r="G436" s="30"/>
    </row>
    <row r="437" spans="5:7" x14ac:dyDescent="0.25">
      <c r="E437" s="30"/>
      <c r="F437" s="30"/>
      <c r="G437" s="30"/>
    </row>
    <row r="438" spans="5:7" x14ac:dyDescent="0.25">
      <c r="E438" s="30"/>
      <c r="F438" s="30"/>
      <c r="G438" s="30"/>
    </row>
    <row r="439" spans="5:7" x14ac:dyDescent="0.25">
      <c r="E439" s="30"/>
      <c r="F439" s="30"/>
      <c r="G439" s="30"/>
    </row>
    <row r="440" spans="5:7" x14ac:dyDescent="0.25">
      <c r="E440" s="30"/>
      <c r="F440" s="30"/>
      <c r="G440" s="30"/>
    </row>
    <row r="441" spans="5:7" x14ac:dyDescent="0.25">
      <c r="E441" s="30"/>
      <c r="F441" s="30"/>
      <c r="G441" s="30"/>
    </row>
    <row r="442" spans="5:7" x14ac:dyDescent="0.25">
      <c r="E442" s="30"/>
      <c r="F442" s="30"/>
      <c r="G442" s="30"/>
    </row>
    <row r="443" spans="5:7" x14ac:dyDescent="0.25">
      <c r="E443" s="30"/>
      <c r="F443" s="30"/>
      <c r="G443" s="30"/>
    </row>
    <row r="444" spans="5:7" x14ac:dyDescent="0.25">
      <c r="E444" s="30"/>
      <c r="F444" s="30"/>
      <c r="G444" s="30"/>
    </row>
    <row r="445" spans="5:7" x14ac:dyDescent="0.25">
      <c r="E445" s="30"/>
      <c r="F445" s="30"/>
      <c r="G445" s="30"/>
    </row>
    <row r="446" spans="5:7" x14ac:dyDescent="0.25">
      <c r="E446" s="30"/>
      <c r="F446" s="30"/>
      <c r="G446" s="30"/>
    </row>
    <row r="447" spans="5:7" x14ac:dyDescent="0.25">
      <c r="E447" s="30"/>
      <c r="F447" s="30"/>
      <c r="G447" s="30"/>
    </row>
    <row r="448" spans="5:7" x14ac:dyDescent="0.25">
      <c r="E448" s="30"/>
      <c r="F448" s="30"/>
      <c r="G448" s="30"/>
    </row>
    <row r="449" spans="5:7" x14ac:dyDescent="0.25">
      <c r="E449" s="30"/>
      <c r="F449" s="30"/>
      <c r="G449" s="30"/>
    </row>
    <row r="450" spans="5:7" x14ac:dyDescent="0.25">
      <c r="E450" s="30"/>
      <c r="F450" s="30"/>
      <c r="G450" s="30"/>
    </row>
    <row r="451" spans="5:7" x14ac:dyDescent="0.25">
      <c r="E451" s="30"/>
      <c r="F451" s="30"/>
      <c r="G451" s="30"/>
    </row>
    <row r="452" spans="5:7" x14ac:dyDescent="0.25">
      <c r="E452" s="30"/>
      <c r="F452" s="30"/>
      <c r="G452" s="30"/>
    </row>
    <row r="453" spans="5:7" x14ac:dyDescent="0.25">
      <c r="E453" s="30"/>
      <c r="F453" s="30"/>
      <c r="G453" s="30"/>
    </row>
    <row r="454" spans="5:7" x14ac:dyDescent="0.25">
      <c r="E454" s="30"/>
      <c r="F454" s="30"/>
      <c r="G454" s="30"/>
    </row>
    <row r="455" spans="5:7" x14ac:dyDescent="0.25">
      <c r="E455" s="30"/>
      <c r="F455" s="30"/>
      <c r="G455" s="30"/>
    </row>
    <row r="456" spans="5:7" x14ac:dyDescent="0.25">
      <c r="E456" s="30"/>
      <c r="F456" s="30"/>
      <c r="G456" s="30"/>
    </row>
    <row r="457" spans="5:7" x14ac:dyDescent="0.25">
      <c r="E457" s="30"/>
      <c r="F457" s="30"/>
      <c r="G457" s="30"/>
    </row>
    <row r="458" spans="5:7" x14ac:dyDescent="0.25">
      <c r="E458" s="30"/>
      <c r="F458" s="30"/>
      <c r="G458" s="30"/>
    </row>
    <row r="459" spans="5:7" x14ac:dyDescent="0.25">
      <c r="E459" s="30"/>
      <c r="F459" s="30"/>
      <c r="G459" s="30"/>
    </row>
    <row r="460" spans="5:7" x14ac:dyDescent="0.25">
      <c r="E460" s="30"/>
      <c r="F460" s="30"/>
      <c r="G460" s="30"/>
    </row>
    <row r="461" spans="5:7" x14ac:dyDescent="0.25">
      <c r="E461" s="30"/>
      <c r="F461" s="30"/>
      <c r="G461" s="30"/>
    </row>
    <row r="462" spans="5:7" x14ac:dyDescent="0.25">
      <c r="E462" s="30"/>
      <c r="F462" s="30"/>
      <c r="G462" s="30"/>
    </row>
    <row r="463" spans="5:7" x14ac:dyDescent="0.25">
      <c r="E463" s="30"/>
      <c r="F463" s="30"/>
      <c r="G463" s="30"/>
    </row>
    <row r="464" spans="5:7" x14ac:dyDescent="0.25">
      <c r="E464" s="30"/>
      <c r="F464" s="30"/>
      <c r="G464" s="30"/>
    </row>
    <row r="465" spans="5:7" x14ac:dyDescent="0.25">
      <c r="E465" s="30"/>
      <c r="F465" s="30"/>
      <c r="G465" s="30"/>
    </row>
    <row r="466" spans="5:7" x14ac:dyDescent="0.25">
      <c r="E466" s="30"/>
      <c r="F466" s="30"/>
      <c r="G466" s="30"/>
    </row>
    <row r="467" spans="5:7" x14ac:dyDescent="0.25">
      <c r="E467" s="30"/>
      <c r="F467" s="30"/>
      <c r="G467" s="30"/>
    </row>
    <row r="468" spans="5:7" x14ac:dyDescent="0.25">
      <c r="E468" s="30"/>
      <c r="F468" s="30"/>
      <c r="G468" s="30"/>
    </row>
    <row r="469" spans="5:7" x14ac:dyDescent="0.25">
      <c r="E469" s="30"/>
      <c r="F469" s="30"/>
      <c r="G469" s="30"/>
    </row>
    <row r="470" spans="5:7" x14ac:dyDescent="0.25">
      <c r="E470" s="30"/>
      <c r="F470" s="30"/>
      <c r="G470" s="30"/>
    </row>
    <row r="471" spans="5:7" x14ac:dyDescent="0.25">
      <c r="E471" s="30"/>
      <c r="F471" s="30"/>
      <c r="G471" s="30"/>
    </row>
    <row r="472" spans="5:7" x14ac:dyDescent="0.25">
      <c r="E472" s="30"/>
      <c r="F472" s="30"/>
      <c r="G472" s="30"/>
    </row>
    <row r="473" spans="5:7" x14ac:dyDescent="0.25">
      <c r="E473" s="30"/>
      <c r="F473" s="30"/>
      <c r="G473" s="30"/>
    </row>
    <row r="474" spans="5:7" x14ac:dyDescent="0.25">
      <c r="E474" s="30"/>
      <c r="F474" s="30"/>
      <c r="G474" s="30"/>
    </row>
    <row r="475" spans="5:7" x14ac:dyDescent="0.25">
      <c r="E475" s="30"/>
      <c r="F475" s="30"/>
      <c r="G475" s="30"/>
    </row>
    <row r="476" spans="5:7" x14ac:dyDescent="0.25">
      <c r="E476" s="30"/>
      <c r="F476" s="30"/>
      <c r="G476" s="30"/>
    </row>
    <row r="477" spans="5:7" x14ac:dyDescent="0.25">
      <c r="E477" s="30"/>
      <c r="F477" s="30"/>
      <c r="G477" s="30"/>
    </row>
    <row r="478" spans="5:7" x14ac:dyDescent="0.25">
      <c r="E478" s="30"/>
      <c r="F478" s="30"/>
      <c r="G478" s="30"/>
    </row>
    <row r="479" spans="5:7" x14ac:dyDescent="0.25">
      <c r="E479" s="30"/>
      <c r="F479" s="30"/>
      <c r="G479" s="30"/>
    </row>
    <row r="480" spans="5:7" x14ac:dyDescent="0.25">
      <c r="E480" s="30"/>
      <c r="F480" s="30"/>
      <c r="G480" s="30"/>
    </row>
    <row r="481" spans="5:7" x14ac:dyDescent="0.25">
      <c r="E481" s="30"/>
      <c r="F481" s="30"/>
      <c r="G481" s="30"/>
    </row>
    <row r="482" spans="5:7" x14ac:dyDescent="0.25">
      <c r="E482" s="30"/>
      <c r="F482" s="30"/>
      <c r="G482" s="30"/>
    </row>
    <row r="483" spans="5:7" x14ac:dyDescent="0.25">
      <c r="E483" s="30"/>
      <c r="F483" s="30"/>
      <c r="G483" s="30"/>
    </row>
    <row r="484" spans="5:7" x14ac:dyDescent="0.25">
      <c r="E484" s="30"/>
      <c r="F484" s="30"/>
      <c r="G484" s="30"/>
    </row>
    <row r="485" spans="5:7" x14ac:dyDescent="0.25">
      <c r="E485" s="30"/>
      <c r="F485" s="30"/>
      <c r="G485" s="30"/>
    </row>
    <row r="486" spans="5:7" x14ac:dyDescent="0.25">
      <c r="E486" s="30"/>
      <c r="F486" s="30"/>
      <c r="G486" s="30"/>
    </row>
    <row r="487" spans="5:7" x14ac:dyDescent="0.25">
      <c r="E487" s="30"/>
      <c r="F487" s="30"/>
      <c r="G487" s="30"/>
    </row>
    <row r="488" spans="5:7" x14ac:dyDescent="0.25">
      <c r="E488" s="30"/>
      <c r="F488" s="30"/>
      <c r="G488" s="30"/>
    </row>
    <row r="489" spans="5:7" x14ac:dyDescent="0.25">
      <c r="E489" s="30"/>
      <c r="F489" s="30"/>
      <c r="G489" s="30"/>
    </row>
    <row r="490" spans="5:7" x14ac:dyDescent="0.25">
      <c r="E490" s="30"/>
      <c r="F490" s="30"/>
      <c r="G490" s="30"/>
    </row>
    <row r="491" spans="5:7" x14ac:dyDescent="0.25">
      <c r="E491" s="30"/>
      <c r="F491" s="30"/>
      <c r="G491" s="30"/>
    </row>
    <row r="492" spans="5:7" x14ac:dyDescent="0.25">
      <c r="E492" s="30"/>
      <c r="F492" s="30"/>
      <c r="G492" s="30"/>
    </row>
    <row r="493" spans="5:7" x14ac:dyDescent="0.25">
      <c r="E493" s="30"/>
      <c r="F493" s="30"/>
      <c r="G493" s="30"/>
    </row>
    <row r="494" spans="5:7" x14ac:dyDescent="0.25">
      <c r="E494" s="30"/>
      <c r="F494" s="30"/>
      <c r="G494" s="30"/>
    </row>
    <row r="495" spans="5:7" x14ac:dyDescent="0.25">
      <c r="E495" s="30"/>
      <c r="F495" s="30"/>
      <c r="G495" s="30"/>
    </row>
    <row r="496" spans="5:7" x14ac:dyDescent="0.25">
      <c r="E496" s="30"/>
      <c r="F496" s="30"/>
      <c r="G496" s="30"/>
    </row>
    <row r="497" spans="5:7" x14ac:dyDescent="0.25">
      <c r="E497" s="30"/>
      <c r="F497" s="30"/>
      <c r="G497" s="30"/>
    </row>
    <row r="498" spans="5:7" x14ac:dyDescent="0.25">
      <c r="E498" s="30"/>
      <c r="F498" s="30"/>
      <c r="G498" s="30"/>
    </row>
    <row r="499" spans="5:7" x14ac:dyDescent="0.25">
      <c r="E499" s="30"/>
      <c r="F499" s="30"/>
      <c r="G499" s="30"/>
    </row>
    <row r="500" spans="5:7" x14ac:dyDescent="0.25">
      <c r="E500" s="30"/>
      <c r="F500" s="30"/>
      <c r="G500" s="30"/>
    </row>
  </sheetData>
  <mergeCells count="2">
    <mergeCell ref="A1:H1"/>
    <mergeCell ref="A2:H2"/>
  </mergeCells>
  <conditionalFormatting sqref="H5:H500">
    <cfRule type="expression" dxfId="2" priority="1">
      <formula>H5="Pendente"</formula>
    </cfRule>
  </conditionalFormatting>
  <conditionalFormatting sqref="H5:H500">
    <cfRule type="expression" dxfId="1" priority="2">
      <formula>H5="Conferido"</formula>
    </cfRule>
  </conditionalFormatting>
  <dataValidations count="3">
    <dataValidation type="list" allowBlank="1" showInputMessage="1" showErrorMessage="1" sqref="A5:A500" xr:uid="{D1AAAF3E-EC90-4815-BDBC-31B774DA710B}">
      <formula1>"Sim,Não"</formula1>
    </dataValidation>
    <dataValidation type="list" allowBlank="1" showInputMessage="1" showErrorMessage="1" sqref="D5:D500" xr:uid="{813E96F9-E46F-4AEE-8C8B-70E851007747}">
      <formula1>"Empréstimo,Financiamento,Crédito pessoal,Outra"</formula1>
    </dataValidation>
    <dataValidation type="list" allowBlank="1" showInputMessage="1" showErrorMessage="1" sqref="H5:H500" xr:uid="{91209420-34DB-4906-976F-5E8072C195B6}">
      <formula1>"Exemplo,Pendente,Conferido"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4867-3582-4096-A43C-7686C5115BF3}">
  <dimension ref="A1:H23"/>
  <sheetViews>
    <sheetView showGridLines="0" workbookViewId="0">
      <selection sqref="A1:H1"/>
    </sheetView>
  </sheetViews>
  <sheetFormatPr defaultRowHeight="15" x14ac:dyDescent="0.25"/>
  <cols>
    <col min="1" max="1" width="28.5703125" customWidth="1"/>
    <col min="2" max="2" width="20" customWidth="1"/>
    <col min="3" max="3" width="15.28515625" customWidth="1"/>
    <col min="4" max="4" width="28.5703125" customWidth="1"/>
    <col min="5" max="6" width="20" customWidth="1"/>
  </cols>
  <sheetData>
    <row r="1" spans="1:8" s="6" customFormat="1" ht="33.950000000000003" customHeight="1" x14ac:dyDescent="0.25">
      <c r="A1" s="4" t="s">
        <v>94</v>
      </c>
      <c r="B1" s="5"/>
      <c r="C1" s="5"/>
      <c r="D1" s="5"/>
      <c r="E1" s="5"/>
      <c r="F1" s="5"/>
      <c r="G1" s="5"/>
      <c r="H1" s="5"/>
    </row>
    <row r="2" spans="1:8" ht="24" customHeight="1" x14ac:dyDescent="0.25">
      <c r="A2" s="7" t="s">
        <v>95</v>
      </c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13" t="s">
        <v>96</v>
      </c>
      <c r="B4" s="13" t="s">
        <v>97</v>
      </c>
      <c r="C4" s="3"/>
      <c r="D4" s="13" t="s">
        <v>103</v>
      </c>
      <c r="E4" s="13" t="s">
        <v>104</v>
      </c>
      <c r="F4" s="3"/>
      <c r="G4" s="3"/>
      <c r="H4" s="3"/>
    </row>
    <row r="5" spans="1:8" ht="17.25" x14ac:dyDescent="0.25">
      <c r="A5" s="21" t="s">
        <v>98</v>
      </c>
      <c r="B5" s="31">
        <f>SUMIFS(tblRendimentos[Valor],tblRendimentos[Incluir],"Sim")</f>
        <v>0</v>
      </c>
      <c r="C5" s="3"/>
      <c r="D5" s="21" t="s">
        <v>105</v>
      </c>
      <c r="E5" s="22">
        <f>COUNTIFS(tblRendimentos[Incluir],"Sim",tblRendimentos[Status],"Pendente")</f>
        <v>0</v>
      </c>
      <c r="F5" s="3"/>
      <c r="G5" s="3"/>
      <c r="H5" s="3"/>
    </row>
    <row r="6" spans="1:8" ht="17.25" x14ac:dyDescent="0.25">
      <c r="A6" s="21" t="s">
        <v>99</v>
      </c>
      <c r="B6" s="31">
        <f>SUMIFS(tblRendimentos[IR retido],tblRendimentos[Incluir],"Sim")</f>
        <v>0</v>
      </c>
      <c r="C6" s="3"/>
      <c r="D6" s="21" t="s">
        <v>106</v>
      </c>
      <c r="E6" s="22">
        <f>COUNTIFS(tblDeducoes[Incluir],"Sim",tblDeducoes[Status],"Pendente")</f>
        <v>0</v>
      </c>
      <c r="F6" s="3"/>
      <c r="G6" s="3"/>
      <c r="H6" s="3"/>
    </row>
    <row r="7" spans="1:8" ht="17.25" x14ac:dyDescent="0.25">
      <c r="A7" s="21" t="s">
        <v>100</v>
      </c>
      <c r="B7" s="31">
        <f>SUMIFS(tblDeducoes[Valor líquido],tblDeducoes[Incluir],"Sim")</f>
        <v>0</v>
      </c>
      <c r="C7" s="3"/>
      <c r="D7" s="21" t="s">
        <v>107</v>
      </c>
      <c r="E7" s="22">
        <f>COUNTIFS(tblBens[Incluir],"Sim",tblBens[Status],"Pendente")</f>
        <v>0</v>
      </c>
      <c r="F7" s="3"/>
      <c r="G7" s="3"/>
      <c r="H7" s="3"/>
    </row>
    <row r="8" spans="1:8" ht="17.25" x14ac:dyDescent="0.25">
      <c r="A8" s="21" t="s">
        <v>101</v>
      </c>
      <c r="B8" s="31">
        <f>SUMIFS(tblBens[Situação final],tblBens[Incluir],"Sim")</f>
        <v>0</v>
      </c>
      <c r="C8" s="3"/>
      <c r="D8" s="21" t="s">
        <v>108</v>
      </c>
      <c r="E8" s="22">
        <f>COUNTIFS(tblDividas[Incluir],"Sim",tblDividas[Status],"Pendente")</f>
        <v>0</v>
      </c>
      <c r="F8" s="3"/>
      <c r="G8" s="3"/>
      <c r="H8" s="3"/>
    </row>
    <row r="9" spans="1:8" ht="17.25" x14ac:dyDescent="0.25">
      <c r="A9" s="21" t="s">
        <v>102</v>
      </c>
      <c r="B9" s="31">
        <f>SUMIFS(tblDividas[Saldo final],tblDividas[Incluir],"Sim")</f>
        <v>0</v>
      </c>
      <c r="C9" s="3"/>
      <c r="D9" s="21" t="s">
        <v>109</v>
      </c>
      <c r="E9" s="22">
        <f>SUM(E5:E8)</f>
        <v>0</v>
      </c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9" t="s">
        <v>110</v>
      </c>
      <c r="B12" s="9"/>
      <c r="C12" s="9"/>
      <c r="D12" s="9"/>
      <c r="E12" s="9"/>
      <c r="F12" s="9"/>
      <c r="G12" s="9"/>
      <c r="H12" s="9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13" t="s">
        <v>44</v>
      </c>
      <c r="B14" s="13" t="s">
        <v>51</v>
      </c>
      <c r="C14" s="13" t="s">
        <v>111</v>
      </c>
      <c r="D14" s="3"/>
      <c r="E14" s="13" t="s">
        <v>115</v>
      </c>
      <c r="F14" s="13" t="s">
        <v>51</v>
      </c>
      <c r="G14" s="3"/>
      <c r="H14" s="3"/>
    </row>
    <row r="15" spans="1:8" x14ac:dyDescent="0.25">
      <c r="A15" s="23" t="s">
        <v>56</v>
      </c>
      <c r="B15" s="32">
        <f>SUMIFS(tblRendimentos[Valor],tblRendimentos[Incluir],"Sim",tblRendimentos[Categoria],A15)</f>
        <v>0</v>
      </c>
      <c r="C15" s="24">
        <f>IFERROR(B15/$B$5,0)</f>
        <v>0</v>
      </c>
      <c r="D15" s="3"/>
      <c r="E15" s="23" t="s">
        <v>69</v>
      </c>
      <c r="F15" s="32">
        <f>SUMIFS(tblDeducoes[Valor líquido],tblDeducoes[Incluir],"Sim",tblDeducoes[Categoria],E15)</f>
        <v>0</v>
      </c>
      <c r="G15" s="3"/>
      <c r="H15" s="3"/>
    </row>
    <row r="16" spans="1:8" x14ac:dyDescent="0.25">
      <c r="A16" s="23" t="s">
        <v>112</v>
      </c>
      <c r="B16" s="32">
        <f>SUMIFS(tblRendimentos[Valor],tblRendimentos[Incluir],"Sim",tblRendimentos[Categoria],A16)</f>
        <v>0</v>
      </c>
      <c r="C16" s="24">
        <f t="shared" ref="C16:C18" si="0">IFERROR(B16/$B$5,0)</f>
        <v>0</v>
      </c>
      <c r="D16" s="3"/>
      <c r="E16" s="23" t="s">
        <v>116</v>
      </c>
      <c r="F16" s="32">
        <f>SUMIFS(tblDeducoes[Valor líquido],tblDeducoes[Incluir],"Sim",tblDeducoes[Categoria],E16)</f>
        <v>0</v>
      </c>
      <c r="G16" s="3"/>
      <c r="H16" s="3"/>
    </row>
    <row r="17" spans="1:8" x14ac:dyDescent="0.25">
      <c r="A17" s="23" t="s">
        <v>113</v>
      </c>
      <c r="B17" s="32">
        <f>SUMIFS(tblRendimentos[Valor],tblRendimentos[Incluir],"Sim",tblRendimentos[Categoria],A17)</f>
        <v>0</v>
      </c>
      <c r="C17" s="24">
        <f t="shared" si="0"/>
        <v>0</v>
      </c>
      <c r="D17" s="3"/>
      <c r="E17" s="23" t="s">
        <v>117</v>
      </c>
      <c r="F17" s="32">
        <f>SUMIFS(tblDeducoes[Valor líquido],tblDeducoes[Incluir],"Sim",tblDeducoes[Categoria],E17)</f>
        <v>0</v>
      </c>
      <c r="G17" s="3"/>
      <c r="H17" s="3"/>
    </row>
    <row r="18" spans="1:8" x14ac:dyDescent="0.25">
      <c r="A18" s="23" t="s">
        <v>114</v>
      </c>
      <c r="B18" s="32" cm="1">
        <f t="array" ref="B18">SUM(SUMIFS(tblRendimentos[Valor],tblRendimentos[Incluir],"Sim",tblRendimentos[Categoria],{"Outro","Exterior"}))</f>
        <v>0</v>
      </c>
      <c r="C18" s="24">
        <f t="shared" si="0"/>
        <v>0</v>
      </c>
      <c r="D18" s="3"/>
      <c r="E18" s="23" t="s">
        <v>118</v>
      </c>
      <c r="F18" s="32">
        <f>SUMIFS(tblDeducoes[Valor líquido],tblDeducoes[Incluir],"Sim",tblDeducoes[Categoria],E18)</f>
        <v>0</v>
      </c>
      <c r="G18" s="3"/>
      <c r="H18" s="3"/>
    </row>
    <row r="19" spans="1:8" x14ac:dyDescent="0.25">
      <c r="A19" s="3"/>
      <c r="B19" s="3"/>
      <c r="C19" s="3"/>
      <c r="D19" s="3"/>
      <c r="E19" s="23" t="s">
        <v>119</v>
      </c>
      <c r="F19" s="32">
        <f>SUMIFS(tblDeducoes[Valor líquido],tblDeducoes[Incluir],"Sim",tblDeducoes[Categoria],E19)</f>
        <v>0</v>
      </c>
      <c r="G19" s="3"/>
      <c r="H19" s="3"/>
    </row>
    <row r="20" spans="1:8" x14ac:dyDescent="0.25">
      <c r="A20" s="3"/>
      <c r="B20" s="3"/>
      <c r="C20" s="3"/>
      <c r="D20" s="3"/>
      <c r="E20" s="23" t="s">
        <v>120</v>
      </c>
      <c r="F20" s="32" cm="1">
        <f t="array" ref="F20">SUM(SUMIFS(tblDeducoes[Valor líquido],tblDeducoes[Incluir],"Sim",tblDeducoes[Categoria],{"Dependente","Outro"}))</f>
        <v>0</v>
      </c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ht="26.1" customHeight="1" x14ac:dyDescent="0.25">
      <c r="A22" s="12" t="s">
        <v>121</v>
      </c>
      <c r="B22" s="12"/>
      <c r="C22" s="12"/>
      <c r="D22" s="12"/>
      <c r="E22" s="12"/>
      <c r="F22" s="12"/>
      <c r="G22" s="12"/>
      <c r="H22" s="12"/>
    </row>
    <row r="23" spans="1:8" ht="26.1" customHeight="1" x14ac:dyDescent="0.25">
      <c r="A23" s="12"/>
      <c r="B23" s="12"/>
      <c r="C23" s="12"/>
      <c r="D23" s="12"/>
      <c r="E23" s="12"/>
      <c r="F23" s="12"/>
      <c r="G23" s="12"/>
      <c r="H23" s="12"/>
    </row>
  </sheetData>
  <mergeCells count="4">
    <mergeCell ref="A1:H1"/>
    <mergeCell ref="A2:H2"/>
    <mergeCell ref="A12:H12"/>
    <mergeCell ref="A22:H23"/>
  </mergeCells>
  <conditionalFormatting sqref="E9">
    <cfRule type="expression" dxfId="0" priority="1">
      <formula>E9&gt;0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5B56-2298-4921-B47A-340B6A4D2C09}">
  <dimension ref="A1:H27"/>
  <sheetViews>
    <sheetView showGridLines="0" workbookViewId="0">
      <selection sqref="A1:H1"/>
    </sheetView>
  </sheetViews>
  <sheetFormatPr defaultRowHeight="15" x14ac:dyDescent="0.25"/>
  <cols>
    <col min="1" max="1" width="26.42578125" bestFit="1" customWidth="1"/>
    <col min="2" max="2" width="41.85546875" customWidth="1"/>
    <col min="3" max="3" width="34.28515625" customWidth="1"/>
    <col min="4" max="4" width="38.140625" customWidth="1"/>
  </cols>
  <sheetData>
    <row r="1" spans="1:8" s="6" customFormat="1" ht="26.25" x14ac:dyDescent="0.25">
      <c r="A1" s="4" t="s">
        <v>122</v>
      </c>
      <c r="B1" s="5"/>
      <c r="C1" s="5"/>
      <c r="D1" s="5"/>
      <c r="E1" s="5"/>
      <c r="F1" s="5"/>
      <c r="G1" s="5"/>
      <c r="H1" s="5"/>
    </row>
    <row r="2" spans="1:8" x14ac:dyDescent="0.25">
      <c r="A2" s="7" t="s">
        <v>123</v>
      </c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9" t="s">
        <v>124</v>
      </c>
      <c r="B4" s="9"/>
      <c r="C4" s="9"/>
      <c r="D4" s="9"/>
      <c r="E4" s="9"/>
      <c r="F4" s="9"/>
      <c r="G4" s="9"/>
      <c r="H4" s="9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25" t="s">
        <v>125</v>
      </c>
      <c r="B6" s="25" t="s">
        <v>126</v>
      </c>
      <c r="C6" s="25" t="s">
        <v>127</v>
      </c>
      <c r="D6" s="25" t="s">
        <v>128</v>
      </c>
      <c r="E6" s="3"/>
      <c r="F6" s="3"/>
      <c r="G6" s="3"/>
      <c r="H6" s="3"/>
    </row>
    <row r="7" spans="1:8" x14ac:dyDescent="0.25">
      <c r="A7" s="3">
        <v>1</v>
      </c>
      <c r="B7" s="27" t="s">
        <v>129</v>
      </c>
      <c r="C7" s="27" t="s">
        <v>130</v>
      </c>
      <c r="D7" s="27" t="s">
        <v>131</v>
      </c>
      <c r="E7" s="3"/>
      <c r="F7" s="3"/>
      <c r="G7" s="3"/>
      <c r="H7" s="3"/>
    </row>
    <row r="8" spans="1:8" x14ac:dyDescent="0.25">
      <c r="A8" s="3">
        <v>2</v>
      </c>
      <c r="B8" s="27" t="s">
        <v>132</v>
      </c>
      <c r="C8" s="27" t="s">
        <v>133</v>
      </c>
      <c r="D8" s="27" t="s">
        <v>134</v>
      </c>
      <c r="E8" s="3"/>
      <c r="F8" s="3"/>
      <c r="G8" s="3"/>
      <c r="H8" s="3"/>
    </row>
    <row r="9" spans="1:8" ht="27" x14ac:dyDescent="0.25">
      <c r="A9" s="3">
        <v>3</v>
      </c>
      <c r="B9" s="27" t="s">
        <v>135</v>
      </c>
      <c r="C9" s="27" t="s">
        <v>136</v>
      </c>
      <c r="D9" s="27" t="s">
        <v>137</v>
      </c>
      <c r="E9" s="3"/>
      <c r="F9" s="3"/>
      <c r="G9" s="3"/>
      <c r="H9" s="3"/>
    </row>
    <row r="10" spans="1:8" x14ac:dyDescent="0.25">
      <c r="A10" s="3">
        <v>4</v>
      </c>
      <c r="B10" s="27" t="s">
        <v>138</v>
      </c>
      <c r="C10" s="27" t="s">
        <v>139</v>
      </c>
      <c r="D10" s="27" t="s">
        <v>140</v>
      </c>
      <c r="E10" s="3"/>
      <c r="F10" s="3"/>
      <c r="G10" s="3"/>
      <c r="H10" s="3"/>
    </row>
    <row r="11" spans="1:8" x14ac:dyDescent="0.25">
      <c r="A11" s="3">
        <v>5</v>
      </c>
      <c r="B11" s="27" t="s">
        <v>141</v>
      </c>
      <c r="C11" s="27" t="s">
        <v>142</v>
      </c>
      <c r="D11" s="27" t="s">
        <v>143</v>
      </c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9" t="s">
        <v>144</v>
      </c>
      <c r="B13" s="9"/>
      <c r="C13" s="9"/>
      <c r="D13" s="9"/>
      <c r="E13" s="9"/>
      <c r="F13" s="9"/>
      <c r="G13" s="9"/>
      <c r="H13" s="9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25" t="s">
        <v>145</v>
      </c>
      <c r="B15" s="25" t="s">
        <v>146</v>
      </c>
      <c r="C15" s="25" t="s">
        <v>147</v>
      </c>
      <c r="D15" s="3"/>
      <c r="E15" s="3"/>
      <c r="F15" s="3"/>
      <c r="G15" s="3"/>
      <c r="H15" s="3"/>
    </row>
    <row r="16" spans="1:8" x14ac:dyDescent="0.25">
      <c r="A16" s="3" t="s">
        <v>148</v>
      </c>
      <c r="B16" s="27" t="s">
        <v>149</v>
      </c>
      <c r="C16" s="27" t="s">
        <v>150</v>
      </c>
      <c r="D16" s="3"/>
      <c r="E16" s="3"/>
      <c r="F16" s="3"/>
      <c r="G16" s="3"/>
      <c r="H16" s="3"/>
    </row>
    <row r="17" spans="1:8" x14ac:dyDescent="0.25">
      <c r="A17" s="3" t="s">
        <v>151</v>
      </c>
      <c r="B17" s="27" t="s">
        <v>152</v>
      </c>
      <c r="C17" s="27" t="s">
        <v>153</v>
      </c>
      <c r="D17" s="3"/>
      <c r="E17" s="3"/>
      <c r="F17" s="3"/>
      <c r="G17" s="3"/>
      <c r="H17" s="3"/>
    </row>
    <row r="18" spans="1:8" x14ac:dyDescent="0.25">
      <c r="A18" s="3" t="s">
        <v>154</v>
      </c>
      <c r="B18" s="27" t="s">
        <v>155</v>
      </c>
      <c r="C18" s="27" t="s">
        <v>156</v>
      </c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9" t="s">
        <v>157</v>
      </c>
      <c r="B20" s="9"/>
      <c r="C20" s="9"/>
      <c r="D20" s="9"/>
      <c r="E20" s="9"/>
      <c r="F20" s="9"/>
      <c r="G20" s="9"/>
      <c r="H20" s="9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25" t="s">
        <v>158</v>
      </c>
      <c r="B22" s="25" t="s">
        <v>159</v>
      </c>
      <c r="C22" s="3"/>
      <c r="D22" s="3"/>
      <c r="E22" s="3"/>
      <c r="F22" s="3"/>
      <c r="G22" s="3"/>
      <c r="H22" s="3"/>
    </row>
    <row r="23" spans="1:8" ht="27" x14ac:dyDescent="0.25">
      <c r="A23" s="3" t="s">
        <v>160</v>
      </c>
      <c r="B23" s="27" t="s">
        <v>161</v>
      </c>
      <c r="C23" s="3"/>
      <c r="D23" s="3"/>
      <c r="E23" s="3"/>
      <c r="F23" s="3"/>
      <c r="G23" s="3"/>
      <c r="H23" s="3"/>
    </row>
    <row r="24" spans="1:8" x14ac:dyDescent="0.25">
      <c r="A24" s="3" t="s">
        <v>162</v>
      </c>
      <c r="B24" s="27" t="s">
        <v>163</v>
      </c>
      <c r="C24" s="3"/>
      <c r="D24" s="3"/>
      <c r="E24" s="3"/>
      <c r="F24" s="3"/>
      <c r="G24" s="3"/>
      <c r="H24" s="3"/>
    </row>
    <row r="25" spans="1:8" x14ac:dyDescent="0.25">
      <c r="A25" s="3" t="s">
        <v>164</v>
      </c>
      <c r="B25" s="27" t="s">
        <v>165</v>
      </c>
      <c r="C25" s="3"/>
      <c r="D25" s="3"/>
      <c r="E25" s="3"/>
      <c r="F25" s="3"/>
      <c r="G25" s="3"/>
      <c r="H25" s="3"/>
    </row>
    <row r="26" spans="1:8" ht="27" x14ac:dyDescent="0.25">
      <c r="A26" s="3" t="s">
        <v>166</v>
      </c>
      <c r="B26" s="27" t="s">
        <v>167</v>
      </c>
      <c r="C26" s="3"/>
      <c r="D26" s="3"/>
      <c r="E26" s="3"/>
      <c r="F26" s="3"/>
      <c r="G26" s="3"/>
      <c r="H26" s="3"/>
    </row>
    <row r="27" spans="1:8" ht="27" x14ac:dyDescent="0.25">
      <c r="A27" s="26" t="s">
        <v>168</v>
      </c>
      <c r="B27" s="28" t="s">
        <v>169</v>
      </c>
      <c r="C27" s="3"/>
      <c r="D27" s="3"/>
      <c r="E27" s="3"/>
      <c r="F27" s="3"/>
      <c r="G27" s="3"/>
      <c r="H27" s="3"/>
    </row>
  </sheetData>
  <mergeCells count="5">
    <mergeCell ref="A1:H1"/>
    <mergeCell ref="A2:H2"/>
    <mergeCell ref="A4:H4"/>
    <mergeCell ref="A13:H13"/>
    <mergeCell ref="A20:H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Início</vt:lpstr>
      <vt:lpstr>Identificação</vt:lpstr>
      <vt:lpstr>Rendimentos</vt:lpstr>
      <vt:lpstr>Deduções</vt:lpstr>
      <vt:lpstr>Bens e Direitos</vt:lpstr>
      <vt:lpstr>Dívidas</vt:lpstr>
      <vt:lpstr>Resumo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LIRA DA SILVA</dc:creator>
  <cp:lastModifiedBy>JOÃO LUCAS LIRA DA SILVA</cp:lastModifiedBy>
  <dcterms:created xsi:type="dcterms:W3CDTF">2026-10-14T00:10:09Z</dcterms:created>
  <dcterms:modified xsi:type="dcterms:W3CDTF">2026-10-14T00:25:06Z</dcterms:modified>
</cp:coreProperties>
</file>